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inhakim/Project/glucolink-a2/docs/excel_reporting/"/>
    </mc:Choice>
  </mc:AlternateContent>
  <xr:revisionPtr revIDLastSave="0" documentId="13_ncr:1_{C44BAC49-4570-CC41-83F3-D51EA4CB1AFD}" xr6:coauthVersionLast="47" xr6:coauthVersionMax="47" xr10:uidLastSave="{00000000-0000-0000-0000-000000000000}"/>
  <bookViews>
    <workbookView xWindow="0" yWindow="620" windowWidth="20160" windowHeight="19280" firstSheet="3" activeTab="6" xr2:uid="{00000000-000D-0000-FFFF-FFFF00000000}"/>
  </bookViews>
  <sheets>
    <sheet name="Control" sheetId="1" r:id="rId1"/>
    <sheet name="Checks" sheetId="2" r:id="rId2"/>
    <sheet name="Queries" sheetId="3" r:id="rId3"/>
    <sheet name="UC1 Dashboard" sheetId="8" r:id="rId4"/>
    <sheet name="UC2 Dashboard" sheetId="9" r:id="rId5"/>
    <sheet name="UC3 Dashboard" sheetId="10" r:id="rId6"/>
    <sheet name="UC4 Dashboard" sheetId="11" r:id="rId7"/>
    <sheet name="UC1" sheetId="4" r:id="rId8"/>
    <sheet name="UC2" sheetId="5" r:id="rId9"/>
    <sheet name="UC3" sheetId="6" r:id="rId10"/>
    <sheet name="UC4" sheetId="7" r:id="rId11"/>
  </sheets>
  <definedNames>
    <definedName name="_xlnm._FilterDatabase" localSheetId="7" hidden="1">'UC1'!$A$1:$H$1</definedName>
    <definedName name="_xlnm._FilterDatabase" localSheetId="8" hidden="1">'UC2'!$A$1:$K$1</definedName>
    <definedName name="_xlnm._FilterDatabase" localSheetId="9" hidden="1">'UC3'!$A$1:$L$1</definedName>
    <definedName name="_xlnm._FilterDatabase" localSheetId="10" hidden="1">'UC4'!$A$1:$E$1</definedName>
    <definedName name="_xlchart.v1.0" hidden="1">'UC1 Dashboard'!$A$6:$A$9</definedName>
    <definedName name="_xlchart.v1.1" hidden="1">'UC1 Dashboard'!$B$5</definedName>
    <definedName name="_xlchart.v1.2" hidden="1">'UC1 Dashboard'!$B$6:$B$9</definedName>
    <definedName name="_xlchart.v1.3" hidden="1">'UC1 Dashboard'!$A$6:$A$9</definedName>
    <definedName name="_xlchart.v1.4" hidden="1">'UC1 Dashboard'!$B$5</definedName>
    <definedName name="_xlchart.v1.5" hidden="1">'UC1 Dashboard'!$B$6:$B$9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1" l="1"/>
  <c r="E25" i="11"/>
  <c r="D26" i="11"/>
  <c r="D25" i="11"/>
  <c r="C26" i="11"/>
  <c r="C25" i="11"/>
  <c r="B26" i="11"/>
  <c r="B25" i="11"/>
  <c r="A26" i="11"/>
  <c r="A25" i="11"/>
  <c r="B8" i="11"/>
  <c r="B7" i="11"/>
  <c r="B6" i="11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6" i="10"/>
  <c r="F6" i="9" a="1"/>
  <c r="F6" i="9" s="1"/>
  <c r="C6" i="9" a="1"/>
  <c r="C6" i="9" s="1"/>
  <c r="B6" i="9" a="1"/>
  <c r="B6" i="9" s="1"/>
  <c r="A6" i="9" a="1"/>
  <c r="A6" i="9" s="1"/>
  <c r="B10" i="8"/>
  <c r="G28" i="8"/>
  <c r="G29" i="8"/>
  <c r="G30" i="8"/>
  <c r="G31" i="8"/>
  <c r="G32" i="8"/>
  <c r="G33" i="8"/>
  <c r="G34" i="8"/>
  <c r="D27" i="8"/>
  <c r="D28" i="8"/>
  <c r="E28" i="8"/>
  <c r="E29" i="8"/>
  <c r="E30" i="8"/>
  <c r="E31" i="8"/>
  <c r="E32" i="8"/>
  <c r="E33" i="8"/>
  <c r="E34" i="8"/>
  <c r="D29" i="8"/>
  <c r="D30" i="8"/>
  <c r="D31" i="8"/>
  <c r="D32" i="8"/>
  <c r="D33" i="8"/>
  <c r="D34" i="8"/>
  <c r="C28" i="8"/>
  <c r="C29" i="8"/>
  <c r="C30" i="8"/>
  <c r="C31" i="8"/>
  <c r="C32" i="8"/>
  <c r="C33" i="8"/>
  <c r="C34" i="8"/>
  <c r="B28" i="8"/>
  <c r="B29" i="8"/>
  <c r="B30" i="8"/>
  <c r="B31" i="8"/>
  <c r="B32" i="8"/>
  <c r="B33" i="8"/>
  <c r="B34" i="8"/>
  <c r="B27" i="8"/>
  <c r="C27" i="8"/>
  <c r="E27" i="8"/>
  <c r="F27" i="8"/>
  <c r="G27" i="8"/>
  <c r="A34" i="8"/>
  <c r="A35" i="8"/>
  <c r="A28" i="8"/>
  <c r="A29" i="8"/>
  <c r="A30" i="8"/>
  <c r="A31" i="8"/>
  <c r="A32" i="8"/>
  <c r="A33" i="8"/>
  <c r="A27" i="8"/>
  <c r="E6" i="9" l="1"/>
  <c r="D15" i="9"/>
  <c r="E16" i="9"/>
  <c r="D14" i="9"/>
  <c r="E15" i="9"/>
  <c r="D13" i="9"/>
  <c r="E14" i="9"/>
  <c r="E12" i="9"/>
  <c r="E13" i="9"/>
  <c r="E11" i="9"/>
  <c r="D12" i="9"/>
  <c r="E10" i="9"/>
  <c r="E9" i="9"/>
  <c r="D6" i="9"/>
  <c r="D7" i="9"/>
  <c r="E8" i="9"/>
  <c r="D11" i="9"/>
  <c r="D10" i="9"/>
  <c r="D9" i="9"/>
  <c r="D8" i="9"/>
  <c r="D16" i="9"/>
  <c r="E7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<sst xmlns="http://schemas.openxmlformats.org/spreadsheetml/2006/main" count="324" uniqueCount="163">
  <si>
    <t>Status</t>
  </si>
  <si>
    <t>Database</t>
  </si>
  <si>
    <t>Frozen commit</t>
  </si>
  <si>
    <t>Export timestamp(s), including timezone</t>
  </si>
  <si>
    <t>As-of date from actual parameters</t>
  </si>
  <si>
    <t>Export method / consistent snapshot?</t>
  </si>
  <si>
    <t>Checked by / date</t>
  </si>
  <si>
    <t>Important</t>
  </si>
  <si>
    <t>Excel is a snapshot. Refresh all four sheets after a pipeline rerun.</t>
  </si>
  <si>
    <t>Ownership</t>
  </si>
  <si>
    <t>B supplies export structure. F owns charts and final validation.</t>
  </si>
  <si>
    <t>Source rules</t>
  </si>
  <si>
    <t>business_rules_v1.2; expected as_of_date 2026-09-01.</t>
  </si>
  <si>
    <t>Fixture acceptance checklist</t>
  </si>
  <si>
    <t>A matching count is necessary but not sufficient.</t>
  </si>
  <si>
    <t>View/check</t>
  </si>
  <si>
    <t>Expected</t>
  </si>
  <si>
    <t>Actual</t>
  </si>
  <si>
    <t>UC1 rows</t>
  </si>
  <si>
    <t>UC2 rows</t>
  </si>
  <si>
    <t>UC3 rows</t>
  </si>
  <si>
    <t>UC4 rows</t>
  </si>
  <si>
    <t>UC1 status counts</t>
  </si>
  <si>
    <t>HIGH_NO_REVIEW 2; HIGH_REVIEW_PENDING 3; NO_TEST_ON_RECORD 1; OVERDUE_TEST 2</t>
  </si>
  <si>
    <t>UC2 status counts</t>
  </si>
  <si>
    <t>NON_ADHERENT 2; ADHERENT 9</t>
  </si>
  <si>
    <t>UC3 status counts</t>
  </si>
  <si>
    <t>RISING 4; STABLE 7; INSUFFICIENT_HISTORY 5; FALLING 0</t>
  </si>
  <si>
    <t>UC3 rising despite adherence</t>
  </si>
  <si>
    <t>UC3 fewer than 2 tests</t>
  </si>
  <si>
    <t>change_mmol_mol is NULL, not zero</t>
  </si>
  <si>
    <t>UC3 missing PDC</t>
  </si>
  <si>
    <t>rising_despite_adherence is false</t>
  </si>
  <si>
    <t>UC4 types</t>
  </si>
  <si>
    <t>RESULT_NOT_RETURNED; MULTI_PHARMACY_OVERLAP</t>
  </si>
  <si>
    <t>View</t>
  </si>
  <si>
    <t>Read-only query</t>
  </si>
  <si>
    <t>reporting.vw_uc1_care_gaps</t>
  </si>
  <si>
    <t>SELECT patient_id, display_name, home_clinic, last_test_date, last_hba1c_mmol_mol, first_review_date, care_gap_status, as_of_date FROM reporting.vw_uc1_care_gaps ORDER BY patient_id;</t>
  </si>
  <si>
    <t>reporting.vw_uc2_pdc</t>
  </si>
  <si>
    <t>SELECT patient_id, display_name, drug_class, fills_counted, covered_days, window_days, pdc, adherence_status, window_start, window_end, as_of_date FROM reporting.vw_uc2_pdc ORDER BY patient_id, drug_class;</t>
  </si>
  <si>
    <t>reporting.vw_uc3_hba1c_trend</t>
  </si>
  <si>
    <t>SELECT patient_id, display_name, n_results, first_test_date, first_hba1c, last_test_date, last_hba1c, change_mmol_mol, trend_status, best_pdc, rising_despite_adherence, as_of_date FROM reporting.vw_uc3_hba1c_trend ORDER BY patient_id;</t>
  </si>
  <si>
    <t>reporting.vw_uc4_care_path_breaks</t>
  </si>
  <si>
    <t>SELECT patient_id, display_name, break_type, detail, event_date FROM reporting.vw_uc4_care_path_breaks ORDER BY patient_id, break_type, event_date;</t>
  </si>
  <si>
    <t>patient_id</t>
  </si>
  <si>
    <t>display_name</t>
  </si>
  <si>
    <t>home_clinic</t>
  </si>
  <si>
    <t>last_test_date</t>
  </si>
  <si>
    <t>last_hba1c_mmol_mol</t>
  </si>
  <si>
    <t>first_review_date</t>
  </si>
  <si>
    <t>care_gap_status</t>
  </si>
  <si>
    <t>as_of_date</t>
  </si>
  <si>
    <t>drug_class</t>
  </si>
  <si>
    <t>fills_counted</t>
  </si>
  <si>
    <t>covered_days</t>
  </si>
  <si>
    <t>window_days</t>
  </si>
  <si>
    <t>pdc</t>
  </si>
  <si>
    <t>adherence_status</t>
  </si>
  <si>
    <t>window_start</t>
  </si>
  <si>
    <t>window_end</t>
  </si>
  <si>
    <t>n_results</t>
  </si>
  <si>
    <t>first_test_date</t>
  </si>
  <si>
    <t>first_hba1c</t>
  </si>
  <si>
    <t>last_hba1c</t>
  </si>
  <si>
    <t>change_mmol_mol</t>
  </si>
  <si>
    <t>trend_status</t>
  </si>
  <si>
    <t>best_pdc</t>
  </si>
  <si>
    <t>rising_despite_adherence</t>
  </si>
  <si>
    <t>break_type</t>
  </si>
  <si>
    <t>detail</t>
  </si>
  <si>
    <t>event_date</t>
  </si>
  <si>
    <t>PASS</t>
  </si>
  <si>
    <t>GL-0001</t>
  </si>
  <si>
    <t>Thomas Smith</t>
  </si>
  <si>
    <t>biguanide</t>
  </si>
  <si>
    <t>ADHERENT</t>
  </si>
  <si>
    <t>GL-0002</t>
  </si>
  <si>
    <t>Mei Chen</t>
  </si>
  <si>
    <t>NON_ADHERENT</t>
  </si>
  <si>
    <t>GL-0003</t>
  </si>
  <si>
    <t>Ahmed Khan</t>
  </si>
  <si>
    <t>GL-0005</t>
  </si>
  <si>
    <t>James Wilson</t>
  </si>
  <si>
    <t>GL-0007</t>
  </si>
  <si>
    <t>Daniel Nguyen</t>
  </si>
  <si>
    <t>sulfonylurea</t>
  </si>
  <si>
    <t>GL-0008</t>
  </si>
  <si>
    <t>Sarah Lee</t>
  </si>
  <si>
    <t>GL-0009</t>
  </si>
  <si>
    <t>Grace Taylor</t>
  </si>
  <si>
    <t>GL-0010</t>
  </si>
  <si>
    <t>William Jones</t>
  </si>
  <si>
    <t>GL-0012</t>
  </si>
  <si>
    <t>Lucas Martin</t>
  </si>
  <si>
    <t>GL-0016</t>
  </si>
  <si>
    <t>Zoe Clark</t>
  </si>
  <si>
    <t>DPP-4 inhibitor</t>
  </si>
  <si>
    <t>GL-0017</t>
  </si>
  <si>
    <t>Ethan Lewis</t>
  </si>
  <si>
    <t>Parramatta Family Practice</t>
  </si>
  <si>
    <t/>
  </si>
  <si>
    <t>HIGH_NO_REVIEW</t>
  </si>
  <si>
    <t>HIGH_REVIEW_PENDING</t>
  </si>
  <si>
    <t>Blacktown Medical Centre</t>
  </si>
  <si>
    <t>OVERDUE_TEST</t>
  </si>
  <si>
    <t>GL-0006</t>
  </si>
  <si>
    <t>NO_TEST_ON_RECORD</t>
  </si>
  <si>
    <t>GL-0014</t>
  </si>
  <si>
    <t>Noah Harris</t>
  </si>
  <si>
    <t>Penrith GP Clinic</t>
  </si>
  <si>
    <t>RISING</t>
  </si>
  <si>
    <t>STABLE</t>
  </si>
  <si>
    <t>INSUFFICIENT_HISTORY</t>
  </si>
  <si>
    <t>GL-0004</t>
  </si>
  <si>
    <t>Olivia Brown</t>
  </si>
  <si>
    <t>GL-0011</t>
  </si>
  <si>
    <t>Emily Davis</t>
  </si>
  <si>
    <t>GL-0013</t>
  </si>
  <si>
    <t>Chloe White</t>
  </si>
  <si>
    <t>GL-0015</t>
  </si>
  <si>
    <t>Ava Robinson</t>
  </si>
  <si>
    <t>RESULT_NOT_RETURNED</t>
  </si>
  <si>
    <t>Result OBS-0010 reported 2026-06-03 has no delivery record to a clinic</t>
  </si>
  <si>
    <t>MULTI_PHARMACY_OVERLAP</t>
  </si>
  <si>
    <t>biguanide supplied by pharmacies 1 and 2 with overlapping supply from 2026-04-20</t>
  </si>
  <si>
    <t>LOADED: all four views from one read-only snapshot of the frozen database</t>
  </si>
  <si>
    <t>glucolink_a2 (shared PostgreSQL 15.19 server, CloudBeaver connection 'GlucoLink A2 - Team')</t>
  </si>
  <si>
    <t>9a499ce (frozen SQL 00 to 09; shared DB rebuilt from it on 11 Oct 2026)</t>
  </si>
  <si>
    <t>2026-10-14 17:12 ; all four views in the same session</t>
  </si>
  <si>
    <t>Read-only SELECT statements from the Queries sheet, run through CloudBeaver on glucolink_a2. Consistent snapshot: yes. The database is frozen (SELECT only) since the 11 Oct rebuild.</t>
  </si>
  <si>
    <t>Minha Kim, 2026-10-14</t>
  </si>
  <si>
    <t>GlucoLink reporting export</t>
  </si>
  <si>
    <t>Rule parameters (actual, reporting.rule_parameter)</t>
  </si>
  <si>
    <t>param_name</t>
  </si>
  <si>
    <t>param_value</t>
  </si>
  <si>
    <t>2026_09_01</t>
  </si>
  <si>
    <t>hba1c_high_mmol</t>
  </si>
  <si>
    <t>pdc_threshold</t>
  </si>
  <si>
    <t>pdc_window_days</t>
  </si>
  <si>
    <t>return_grace_days</t>
  </si>
  <si>
    <t>review_window_days</t>
  </si>
  <si>
    <t>test_overdue_months</t>
  </si>
  <si>
    <t>trend_min_change_mmol</t>
  </si>
  <si>
    <t>trend_window_months</t>
  </si>
  <si>
    <t>Automated tests (audit.test_results)</t>
  </si>
  <si>
    <t>46 run, 46 passed, 0 failed</t>
  </si>
  <si>
    <t>UC1 Care gaps: patient per care-gap status</t>
  </si>
  <si>
    <t>Source: reporting.vw_uc1_care_gaps | database: glucolink_a2 | commit: 9a499ce | exported 2026-10-14 17:12 | checks: ALL PASS</t>
  </si>
  <si>
    <t>patients</t>
  </si>
  <si>
    <t>Total</t>
  </si>
  <si>
    <t>UC2 Medication adherence: PDC per patient (threshold 0.8)</t>
  </si>
  <si>
    <t>patient (sorted by PDC)</t>
  </si>
  <si>
    <t>Source: reporting.vw_uc2_pdc | database: glucolink_a2 | commit: 9a499ce | exported 2026-10-14 17:12 | checks: ALL PASS</t>
  </si>
  <si>
    <t>UC3 HbA1c trend: change in HbA1c per patient</t>
  </si>
  <si>
    <t>patient</t>
  </si>
  <si>
    <t>Practice nurse: book an HbA1c test for overdue or untested patients, and a GP review for high results with no review.</t>
  </si>
  <si>
    <t>Community pharmacist: contact NON_ADHERENT patients (PDC below 0.8) about refills and barriers to taking their medication.</t>
  </si>
  <si>
    <t>GP: review treatment for RISING patients; * = rising despite adherence, so consider a change of therapy rather than an adherence talk.</t>
  </si>
  <si>
    <t>INSUFFICIENT_HISTORY (fewer than 2 tests) has no change value, so it has no bar; it is not drawn as zero. FALLING: 0 patients.</t>
  </si>
  <si>
    <t>UC4 Care-path breaks: breaks per type</t>
  </si>
  <si>
    <t>GlucoLink network care coordinator: ask the lab to resend the missing result to the clinic, and contact the patient and both pharmacies about the overlapping supply.</t>
  </si>
  <si>
    <t>breaks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</si>
</sst>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71" formatCode="d/mm/yyyy;@"/>
    <numFmt numFmtId="173" formatCode="\+0.00;\-0.00;0"/>
  </numFmts>
  <fonts count="8" x14ac:knownFonts="1">
    <font>
      <sz val="11"/>
      <color theme="1"/>
      <name val="Calibri"/>
      <family val="2"/>
      <scheme val="minor"/>
    </font>
    <font>
      <sz val="11"/>
      <color rgb="FF20334C"/>
      <name val="Aptos"/>
    </font>
    <font>
      <b/>
      <sz val="12"/>
      <color rgb="FFFFFFFF"/>
      <name val="Aptos"/>
    </font>
    <font>
      <sz val="11"/>
      <color theme="1"/>
      <name val="Aptos Narrow"/>
    </font>
    <font>
      <b/>
      <sz val="11"/>
      <color rgb="FF20334C"/>
      <name val="Aptos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9334D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14" fontId="3" fillId="0" borderId="0" xfId="0" applyNumberFormat="1" applyFont="1"/>
    <xf numFmtId="14" fontId="2" fillId="2" borderId="0" xfId="0" applyNumberFormat="1" applyFont="1" applyFill="1" applyAlignment="1">
      <alignment vertical="top" wrapText="1"/>
    </xf>
    <xf numFmtId="14" fontId="0" fillId="0" borderId="0" xfId="0" applyNumberFormat="1"/>
    <xf numFmtId="14" fontId="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/>
    </xf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0" borderId="0" xfId="0" applyFont="1"/>
    <xf numFmtId="0" fontId="0" fillId="3" borderId="0" xfId="0" applyFill="1"/>
    <xf numFmtId="0" fontId="0" fillId="0" borderId="2" xfId="0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5" fillId="0" borderId="7" xfId="0" applyFont="1" applyBorder="1"/>
    <xf numFmtId="0" fontId="5" fillId="0" borderId="8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71" fontId="0" fillId="3" borderId="0" xfId="0" applyNumberFormat="1" applyFill="1"/>
    <xf numFmtId="171" fontId="0" fillId="0" borderId="0" xfId="0" applyNumberFormat="1"/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73" fontId="0" fillId="0" borderId="0" xfId="0" applyNumberFormat="1"/>
    <xf numFmtId="0" fontId="0" fillId="3" borderId="9" xfId="0" applyFill="1" applyBorder="1"/>
    <xf numFmtId="173" fontId="0" fillId="3" borderId="10" xfId="0" applyNumberFormat="1" applyFill="1" applyBorder="1"/>
    <xf numFmtId="0" fontId="0" fillId="3" borderId="10" xfId="0" applyFill="1" applyBorder="1"/>
    <xf numFmtId="0" fontId="0" fillId="3" borderId="11" xfId="0" applyFill="1" applyBorder="1"/>
    <xf numFmtId="0" fontId="0" fillId="0" borderId="12" xfId="0" applyBorder="1"/>
    <xf numFmtId="173" fontId="0" fillId="0" borderId="0" xfId="0" applyNumberFormat="1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173" fontId="0" fillId="0" borderId="2" xfId="0" applyNumberFormat="1" applyBorder="1"/>
    <xf numFmtId="0" fontId="0" fillId="0" borderId="15" xfId="0" applyBorder="1"/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wrapText="1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14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1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patients per care-gap status (n =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'UC1 Dashboard'!$B$5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856129685916919E-2"/>
                      <c:h val="3.44350663358860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8FA-CE4F-9AF0-12F80AEAF8DF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856129685916919E-2"/>
                      <c:h val="3.44350663358860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8FA-CE4F-9AF0-12F80AEAF8DF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856129685916919E-2"/>
                      <c:h val="3.44350663358860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8FA-CE4F-9AF0-12F80AEAF8DF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856129685916919E-2"/>
                      <c:h val="3.44350663358860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8FA-CE4F-9AF0-12F80AEAF8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no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'UC1 Dashboard'!$A$6:$A$9</c:f>
              <c:strCache>
                <c:ptCount val="4"/>
                <c:pt idx="0">
                  <c:v>HIGH_NO_REVIEW</c:v>
                </c:pt>
                <c:pt idx="1">
                  <c:v>HIGH_REVIEW_PENDING</c:v>
                </c:pt>
                <c:pt idx="2">
                  <c:v>OVERDUE_TEST</c:v>
                </c:pt>
                <c:pt idx="3">
                  <c:v>NO_TEST_ON_RECORD</c:v>
                </c:pt>
              </c:strCache>
            </c:strRef>
          </c:cat>
          <c:val>
            <c:numRef>
              <c:f>'UC1 Dashboard'!$B$6:$B$9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FA-CE4F-9AF0-12F80AEAF8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4980800"/>
        <c:axId val="1564982144"/>
      </c:barChart>
      <c:catAx>
        <c:axId val="156498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82144"/>
        <c:crosses val="autoZero"/>
        <c:auto val="1"/>
        <c:lblAlgn val="ctr"/>
        <c:lblOffset val="100"/>
        <c:noMultiLvlLbl val="0"/>
      </c:catAx>
      <c:valAx>
        <c:axId val="156498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8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PDC</a:t>
            </a:r>
            <a:r>
              <a:rPr lang="ko-KR" altLang="en-US" baseline="0"/>
              <a:t> </a:t>
            </a:r>
            <a:r>
              <a:rPr lang="en-US" altLang="ko-KR" baseline="0"/>
              <a:t>per. atient,</a:t>
            </a:r>
            <a:r>
              <a:rPr lang="ko-KR" altLang="en-US" baseline="0"/>
              <a:t> </a:t>
            </a:r>
            <a:r>
              <a:rPr lang="en-US" altLang="ko-KR" baseline="0"/>
              <a:t>lowest</a:t>
            </a:r>
            <a:r>
              <a:rPr lang="ko-KR" altLang="en-US" baseline="0"/>
              <a:t> </a:t>
            </a:r>
            <a:r>
              <a:rPr lang="en-US" altLang="ko-KR" baseline="0"/>
              <a:t>first</a:t>
            </a:r>
            <a:endParaRPr lang="en-AU" altLang="ko-K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'UC2 Dashboard'!$D$5</c:f>
              <c:strCache>
                <c:ptCount val="1"/>
                <c:pt idx="0">
                  <c:v>ADHERENT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'UC2 Dashboard'!$A$6:$A$16</c:f>
              <c:strCache>
                <c:ptCount val="11"/>
                <c:pt idx="0">
                  <c:v>GL-0002 Mei Chen (0.333)</c:v>
                </c:pt>
                <c:pt idx="1">
                  <c:v>GL-0010 William Jones (0.500)</c:v>
                </c:pt>
                <c:pt idx="2">
                  <c:v>GL-0017 Ethan Lewis (0.917)</c:v>
                </c:pt>
                <c:pt idx="3">
                  <c:v>GL-0005 James Wilson (0.972)</c:v>
                </c:pt>
                <c:pt idx="4">
                  <c:v>GL-0012 Lucas Martin (0.972)</c:v>
                </c:pt>
                <c:pt idx="5">
                  <c:v>GL-0003 Ahmed Khan (0.978)</c:v>
                </c:pt>
                <c:pt idx="6">
                  <c:v>GL-0008 Sarah Lee (0.978)</c:v>
                </c:pt>
                <c:pt idx="7">
                  <c:v>GL-0001 Thomas Smith (0.989)</c:v>
                </c:pt>
                <c:pt idx="8">
                  <c:v>GL-0007 Daniel Nguyen (1.000)</c:v>
                </c:pt>
                <c:pt idx="9">
                  <c:v>GL-0009 Grace Taylor (1.000)</c:v>
                </c:pt>
                <c:pt idx="10">
                  <c:v>GL-0016 Zoe Clark (1.000)</c:v>
                </c:pt>
              </c:strCache>
            </c:strRef>
          </c:cat>
          <c:val>
            <c:numRef>
              <c:f>'UC2 Dashboard'!$D$6:$D$16</c:f>
              <c:numCache>
                <c:formatCode>General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0.91700000000000004</c:v>
                </c:pt>
                <c:pt idx="3">
                  <c:v>0.97199999999999998</c:v>
                </c:pt>
                <c:pt idx="4">
                  <c:v>0.97199999999999998</c:v>
                </c:pt>
                <c:pt idx="5">
                  <c:v>0.97799999999999998</c:v>
                </c:pt>
                <c:pt idx="6">
                  <c:v>0.97799999999999998</c:v>
                </c:pt>
                <c:pt idx="7">
                  <c:v>0.98899999999999999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B-5D49-B21B-4ABC7832F6BA}"/>
            </c:ext>
          </c:extLst>
        </c:ser>
        <c:ser>
          <c:idx val="1"/>
          <c:order val="1"/>
          <c:tx>
            <c:strRef>
              <c:f>'UC2 Dashboard'!$E$5</c:f>
              <c:strCache>
                <c:ptCount val="1"/>
                <c:pt idx="0">
                  <c:v>NON_ADHERENT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'UC2 Dashboard'!$A$6:$A$16</c:f>
              <c:strCache>
                <c:ptCount val="11"/>
                <c:pt idx="0">
                  <c:v>GL-0002 Mei Chen (0.333)</c:v>
                </c:pt>
                <c:pt idx="1">
                  <c:v>GL-0010 William Jones (0.500)</c:v>
                </c:pt>
                <c:pt idx="2">
                  <c:v>GL-0017 Ethan Lewis (0.917)</c:v>
                </c:pt>
                <c:pt idx="3">
                  <c:v>GL-0005 James Wilson (0.972)</c:v>
                </c:pt>
                <c:pt idx="4">
                  <c:v>GL-0012 Lucas Martin (0.972)</c:v>
                </c:pt>
                <c:pt idx="5">
                  <c:v>GL-0003 Ahmed Khan (0.978)</c:v>
                </c:pt>
                <c:pt idx="6">
                  <c:v>GL-0008 Sarah Lee (0.978)</c:v>
                </c:pt>
                <c:pt idx="7">
                  <c:v>GL-0001 Thomas Smith (0.989)</c:v>
                </c:pt>
                <c:pt idx="8">
                  <c:v>GL-0007 Daniel Nguyen (1.000)</c:v>
                </c:pt>
                <c:pt idx="9">
                  <c:v>GL-0009 Grace Taylor (1.000)</c:v>
                </c:pt>
                <c:pt idx="10">
                  <c:v>GL-0016 Zoe Clark (1.000)</c:v>
                </c:pt>
              </c:strCache>
            </c:strRef>
          </c:cat>
          <c:val>
            <c:numRef>
              <c:f>'UC2 Dashboard'!$E$6:$E$16</c:f>
              <c:numCache>
                <c:formatCode>General</c:formatCode>
                <c:ptCount val="11"/>
                <c:pt idx="0">
                  <c:v>0.33300000000000002</c:v>
                </c:pt>
                <c:pt idx="1">
                  <c:v>0.5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B-5D49-B21B-4ABC7832F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647495808"/>
        <c:axId val="1647498496"/>
      </c:barChart>
      <c:catAx>
        <c:axId val="1647495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498496"/>
        <c:crosses val="autoZero"/>
        <c:auto val="1"/>
        <c:lblAlgn val="ctr"/>
        <c:lblOffset val="100"/>
        <c:noMultiLvlLbl val="0"/>
      </c:catAx>
      <c:valAx>
        <c:axId val="16474984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495808"/>
        <c:crosses val="max"/>
        <c:crossBetween val="between"/>
      </c:valAx>
      <c:spPr>
        <a:noFill/>
        <a:ln w="0"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 sz="1800">
                <a:effectLst/>
              </a:rPr>
              <a:t>HbA1c change from first to last test (mmol/mol) </a:t>
            </a:r>
            <a:br>
              <a:rPr lang="en-AU" sz="1800">
                <a:effectLst/>
              </a:rPr>
            </a:br>
            <a:r>
              <a:rPr lang="en-AU" sz="1000">
                <a:effectLst/>
              </a:rPr>
              <a:t>* = rising despite adherence</a:t>
            </a:r>
            <a:endParaRPr lang="en-AU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'UC3 Dashboard'!$C$6</c:f>
              <c:strCache>
                <c:ptCount val="1"/>
                <c:pt idx="0">
                  <c:v>RISING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'UC3 Dashboard'!$A$6:$A$21</c:f>
              <c:strCache>
                <c:ptCount val="16"/>
                <c:pt idx="0">
                  <c:v>GL-0001 *</c:v>
                </c:pt>
                <c:pt idx="1">
                  <c:v>GL-0002</c:v>
                </c:pt>
                <c:pt idx="2">
                  <c:v>GL-0003 (1 test)</c:v>
                </c:pt>
                <c:pt idx="3">
                  <c:v>GL-0004</c:v>
                </c:pt>
                <c:pt idx="4">
                  <c:v>GL-0005</c:v>
                </c:pt>
                <c:pt idx="5">
                  <c:v>GL-0007 (1 test)</c:v>
                </c:pt>
                <c:pt idx="6">
                  <c:v>GL-0008</c:v>
                </c:pt>
                <c:pt idx="7">
                  <c:v>GL-0009</c:v>
                </c:pt>
                <c:pt idx="8">
                  <c:v>GL-0010 (1 test)</c:v>
                </c:pt>
                <c:pt idx="9">
                  <c:v>GL-0011</c:v>
                </c:pt>
                <c:pt idx="10">
                  <c:v>GL-0012 (1 test)</c:v>
                </c:pt>
                <c:pt idx="11">
                  <c:v>GL-0013</c:v>
                </c:pt>
                <c:pt idx="12">
                  <c:v>GL-0014</c:v>
                </c:pt>
                <c:pt idx="13">
                  <c:v>GL-0015</c:v>
                </c:pt>
                <c:pt idx="14">
                  <c:v>GL-0016 *</c:v>
                </c:pt>
                <c:pt idx="15">
                  <c:v>GL-0017 (1 test)</c:v>
                </c:pt>
              </c:strCache>
            </c:strRef>
          </c:cat>
          <c:val>
            <c:numRef>
              <c:f>'UC3 Dashboard'!$D$6:$D$21</c:f>
              <c:numCache>
                <c:formatCode>\+0.00;\-0.00;0</c:formatCode>
                <c:ptCount val="16"/>
                <c:pt idx="0">
                  <c:v>12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5</c:v>
                </c:pt>
                <c:pt idx="12">
                  <c:v>6</c:v>
                </c:pt>
                <c:pt idx="13">
                  <c:v>#N/A</c:v>
                </c:pt>
                <c:pt idx="14">
                  <c:v>12</c:v>
                </c:pt>
                <c:pt idx="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D-AF41-96F6-6302E5C7632C}"/>
            </c:ext>
          </c:extLst>
        </c:ser>
        <c:ser>
          <c:idx val="1"/>
          <c:order val="1"/>
          <c:tx>
            <c:strRef>
              <c:f>'UC3 Dashboard'!$C$7</c:f>
              <c:strCache>
                <c:ptCount val="1"/>
                <c:pt idx="0">
                  <c:v>STABLE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'UC3 Dashboard'!$A$6:$A$21</c:f>
              <c:strCache>
                <c:ptCount val="16"/>
                <c:pt idx="0">
                  <c:v>GL-0001 *</c:v>
                </c:pt>
                <c:pt idx="1">
                  <c:v>GL-0002</c:v>
                </c:pt>
                <c:pt idx="2">
                  <c:v>GL-0003 (1 test)</c:v>
                </c:pt>
                <c:pt idx="3">
                  <c:v>GL-0004</c:v>
                </c:pt>
                <c:pt idx="4">
                  <c:v>GL-0005</c:v>
                </c:pt>
                <c:pt idx="5">
                  <c:v>GL-0007 (1 test)</c:v>
                </c:pt>
                <c:pt idx="6">
                  <c:v>GL-0008</c:v>
                </c:pt>
                <c:pt idx="7">
                  <c:v>GL-0009</c:v>
                </c:pt>
                <c:pt idx="8">
                  <c:v>GL-0010 (1 test)</c:v>
                </c:pt>
                <c:pt idx="9">
                  <c:v>GL-0011</c:v>
                </c:pt>
                <c:pt idx="10">
                  <c:v>GL-0012 (1 test)</c:v>
                </c:pt>
                <c:pt idx="11">
                  <c:v>GL-0013</c:v>
                </c:pt>
                <c:pt idx="12">
                  <c:v>GL-0014</c:v>
                </c:pt>
                <c:pt idx="13">
                  <c:v>GL-0015</c:v>
                </c:pt>
                <c:pt idx="14">
                  <c:v>GL-0016 *</c:v>
                </c:pt>
                <c:pt idx="15">
                  <c:v>GL-0017 (1 test)</c:v>
                </c:pt>
              </c:strCache>
            </c:strRef>
          </c:cat>
          <c:val>
            <c:numRef>
              <c:f>'UC3 Dashboard'!$E$6:$E$21</c:f>
              <c:numCache>
                <c:formatCode>\+0.00;\-0.00;0</c:formatCode>
                <c:ptCount val="16"/>
                <c:pt idx="0">
                  <c:v>#N/A</c:v>
                </c:pt>
                <c:pt idx="1">
                  <c:v>0</c:v>
                </c:pt>
                <c:pt idx="2">
                  <c:v>#N/A</c:v>
                </c:pt>
                <c:pt idx="3">
                  <c:v>1</c:v>
                </c:pt>
                <c:pt idx="4">
                  <c:v>1.1000000000000001</c:v>
                </c:pt>
                <c:pt idx="5">
                  <c:v>#N/A</c:v>
                </c:pt>
                <c:pt idx="6">
                  <c:v>-1</c:v>
                </c:pt>
                <c:pt idx="7">
                  <c:v>-1</c:v>
                </c:pt>
                <c:pt idx="8">
                  <c:v>#N/A</c:v>
                </c:pt>
                <c:pt idx="9">
                  <c:v>-4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-1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D-AF41-96F6-6302E5C76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564609600"/>
        <c:axId val="1564621248"/>
      </c:barChart>
      <c:catAx>
        <c:axId val="156460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21248"/>
        <c:crosses val="autoZero"/>
        <c:auto val="1"/>
        <c:lblAlgn val="ctr"/>
        <c:lblOffset val="100"/>
        <c:noMultiLvlLbl val="0"/>
      </c:catAx>
      <c:valAx>
        <c:axId val="15646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+0.00;\-0.00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0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Care-path</a:t>
            </a:r>
            <a:r>
              <a:rPr lang="en-GB" baseline="0"/>
              <a:t> breaks per type (n = 2)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'UC4 Dashboard'!$A$6:$A$7</c:f>
              <c:strCache>
                <c:ptCount val="2"/>
                <c:pt idx="0">
                  <c:v>RESULT_NOT_RETURNED</c:v>
                </c:pt>
                <c:pt idx="1">
                  <c:v>MULTI_PHARMACY_OVERLAP</c:v>
                </c:pt>
              </c:strCache>
            </c:strRef>
          </c:cat>
          <c:val>
            <c:numRef>
              <c:f>'UC4 Dashboard'!$B$6:$B$7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B-4B43-A83E-629B97702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126400"/>
        <c:axId val="1592123712"/>
      </c:barChart>
      <c:catAx>
        <c:axId val="159212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123712"/>
        <c:crosses val="autoZero"/>
        <c:auto val="1"/>
        <c:lblAlgn val="ctr"/>
        <c:lblOffset val="100"/>
        <c:noMultiLvlLbl val="0"/>
      </c:catAx>
      <c:valAx>
        <c:axId val="1592123712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1264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11</xdr:col>
      <xdr:colOff>298450</xdr:colOff>
      <xdr:row>23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75E2A0-F94B-714A-ADDA-81BEB6C49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40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C09AC4-8487-83F7-0042-2313374AB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8</xdr:col>
      <xdr:colOff>0</xdr:colOff>
      <xdr:row>45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052620-A1BC-7C3A-DA80-C34BAF144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819150</xdr:colOff>
      <xdr:row>4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B58DA-F14D-5A7C-0E3C-914F208455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5" x14ac:dyDescent="0.2"/>
  <cols>
    <col min="1" max="1" width="44" customWidth="1"/>
    <col min="2" max="2" width="95" customWidth="1"/>
  </cols>
  <sheetData>
    <row r="1" spans="1:2" ht="34" customHeight="1" x14ac:dyDescent="0.2">
      <c r="A1" s="1" t="s">
        <v>132</v>
      </c>
      <c r="B1" s="1"/>
    </row>
    <row r="2" spans="1:2" ht="42" customHeight="1" x14ac:dyDescent="0.2">
      <c r="A2" s="2" t="s">
        <v>0</v>
      </c>
      <c r="B2" s="2" t="s">
        <v>126</v>
      </c>
    </row>
    <row r="3" spans="1:2" ht="42" customHeight="1" x14ac:dyDescent="0.2">
      <c r="A3" s="2" t="s">
        <v>1</v>
      </c>
      <c r="B3" s="2" t="s">
        <v>127</v>
      </c>
    </row>
    <row r="4" spans="1:2" ht="42" customHeight="1" x14ac:dyDescent="0.2">
      <c r="A4" s="2" t="s">
        <v>2</v>
      </c>
      <c r="B4" s="2" t="s">
        <v>128</v>
      </c>
    </row>
    <row r="5" spans="1:2" ht="42" customHeight="1" x14ac:dyDescent="0.2">
      <c r="A5" s="2" t="s">
        <v>3</v>
      </c>
      <c r="B5" s="2" t="s">
        <v>129</v>
      </c>
    </row>
    <row r="6" spans="1:2" ht="42" customHeight="1" x14ac:dyDescent="0.2">
      <c r="A6" s="2" t="s">
        <v>4</v>
      </c>
      <c r="B6" s="9">
        <v>46266</v>
      </c>
    </row>
    <row r="7" spans="1:2" ht="42" customHeight="1" x14ac:dyDescent="0.2">
      <c r="A7" s="2" t="s">
        <v>5</v>
      </c>
      <c r="B7" s="2" t="s">
        <v>130</v>
      </c>
    </row>
    <row r="8" spans="1:2" ht="42" customHeight="1" x14ac:dyDescent="0.2">
      <c r="A8" s="2" t="s">
        <v>6</v>
      </c>
      <c r="B8" s="2" t="s">
        <v>131</v>
      </c>
    </row>
    <row r="9" spans="1:2" ht="42" customHeight="1" x14ac:dyDescent="0.2">
      <c r="A9" s="2" t="s">
        <v>7</v>
      </c>
      <c r="B9" s="2" t="s">
        <v>8</v>
      </c>
    </row>
    <row r="10" spans="1:2" ht="42" customHeight="1" x14ac:dyDescent="0.2">
      <c r="A10" s="2" t="s">
        <v>9</v>
      </c>
      <c r="B10" s="2" t="s">
        <v>10</v>
      </c>
    </row>
    <row r="11" spans="1:2" ht="42" customHeight="1" x14ac:dyDescent="0.2">
      <c r="A11" s="2" t="s">
        <v>11</v>
      </c>
      <c r="B11" s="2" t="s">
        <v>12</v>
      </c>
    </row>
    <row r="13" spans="1:2" ht="16" x14ac:dyDescent="0.2">
      <c r="A13" s="11" t="s">
        <v>133</v>
      </c>
    </row>
    <row r="14" spans="1:2" ht="16" x14ac:dyDescent="0.2">
      <c r="A14" s="12" t="s">
        <v>134</v>
      </c>
      <c r="B14" s="12" t="s">
        <v>135</v>
      </c>
    </row>
    <row r="15" spans="1:2" ht="16" x14ac:dyDescent="0.2">
      <c r="A15" s="2" t="s">
        <v>52</v>
      </c>
      <c r="B15" s="2" t="s">
        <v>136</v>
      </c>
    </row>
    <row r="16" spans="1:2" ht="16" x14ac:dyDescent="0.2">
      <c r="A16" s="2" t="s">
        <v>137</v>
      </c>
      <c r="B16" s="10">
        <v>53</v>
      </c>
    </row>
    <row r="17" spans="1:2" ht="16" x14ac:dyDescent="0.2">
      <c r="A17" s="2" t="s">
        <v>138</v>
      </c>
      <c r="B17" s="10">
        <v>0.8</v>
      </c>
    </row>
    <row r="18" spans="1:2" ht="16" x14ac:dyDescent="0.2">
      <c r="A18" s="2" t="s">
        <v>139</v>
      </c>
      <c r="B18" s="10">
        <v>180</v>
      </c>
    </row>
    <row r="19" spans="1:2" ht="16" x14ac:dyDescent="0.2">
      <c r="A19" s="2" t="s">
        <v>140</v>
      </c>
      <c r="B19" s="10">
        <v>7</v>
      </c>
    </row>
    <row r="20" spans="1:2" ht="16" x14ac:dyDescent="0.2">
      <c r="A20" s="2" t="s">
        <v>141</v>
      </c>
      <c r="B20" s="10">
        <v>90</v>
      </c>
    </row>
    <row r="21" spans="1:2" ht="16" x14ac:dyDescent="0.2">
      <c r="A21" s="2" t="s">
        <v>142</v>
      </c>
      <c r="B21" s="10">
        <v>6</v>
      </c>
    </row>
    <row r="22" spans="1:2" ht="16" x14ac:dyDescent="0.2">
      <c r="A22" s="2" t="s">
        <v>143</v>
      </c>
      <c r="B22" s="10">
        <v>5</v>
      </c>
    </row>
    <row r="23" spans="1:2" ht="16" x14ac:dyDescent="0.2">
      <c r="A23" s="2" t="s">
        <v>144</v>
      </c>
      <c r="B23" s="10">
        <v>12</v>
      </c>
    </row>
    <row r="25" spans="1:2" ht="16" x14ac:dyDescent="0.2">
      <c r="A25" s="2" t="s">
        <v>145</v>
      </c>
      <c r="B25" t="s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>
      <pane ySplit="1" topLeftCell="A4" activePane="bottomLeft" state="frozen"/>
      <selection pane="bottomLeft" activeCell="C20" sqref="C20"/>
    </sheetView>
  </sheetViews>
  <sheetFormatPr baseColWidth="10" defaultColWidth="8.83203125" defaultRowHeight="15" x14ac:dyDescent="0.2"/>
  <cols>
    <col min="1" max="1" width="34" customWidth="1"/>
    <col min="2" max="2" width="90" customWidth="1"/>
    <col min="3" max="3" width="45" customWidth="1"/>
    <col min="4" max="4" width="20" customWidth="1"/>
  </cols>
  <sheetData>
    <row r="1" spans="1:4" ht="34" customHeight="1" x14ac:dyDescent="0.2">
      <c r="A1" s="1" t="s">
        <v>13</v>
      </c>
      <c r="B1" s="1"/>
      <c r="C1" s="1"/>
      <c r="D1" s="1"/>
    </row>
    <row r="2" spans="1:4" ht="42" customHeight="1" x14ac:dyDescent="0.2">
      <c r="A2" s="2" t="s">
        <v>14</v>
      </c>
      <c r="B2" s="2"/>
      <c r="C2" s="2"/>
      <c r="D2" s="2"/>
    </row>
    <row r="3" spans="1:4" ht="42" customHeight="1" x14ac:dyDescent="0.2">
      <c r="A3" s="2" t="s">
        <v>15</v>
      </c>
      <c r="B3" s="2" t="s">
        <v>16</v>
      </c>
      <c r="C3" s="2" t="s">
        <v>17</v>
      </c>
      <c r="D3" s="2" t="s">
        <v>0</v>
      </c>
    </row>
    <row r="4" spans="1:4" ht="42" customHeight="1" x14ac:dyDescent="0.2">
      <c r="A4" s="2" t="s">
        <v>18</v>
      </c>
      <c r="B4" s="2">
        <v>8</v>
      </c>
      <c r="C4" s="2">
        <v>8</v>
      </c>
      <c r="D4" s="2" t="s">
        <v>72</v>
      </c>
    </row>
    <row r="5" spans="1:4" ht="42" customHeight="1" x14ac:dyDescent="0.2">
      <c r="A5" s="2" t="s">
        <v>19</v>
      </c>
      <c r="B5" s="2">
        <v>11</v>
      </c>
      <c r="C5" s="2">
        <v>11</v>
      </c>
      <c r="D5" s="2" t="s">
        <v>72</v>
      </c>
    </row>
    <row r="6" spans="1:4" ht="42" customHeight="1" x14ac:dyDescent="0.2">
      <c r="A6" s="2" t="s">
        <v>20</v>
      </c>
      <c r="B6" s="2">
        <v>16</v>
      </c>
      <c r="C6" s="2">
        <v>16</v>
      </c>
      <c r="D6" s="2" t="s">
        <v>72</v>
      </c>
    </row>
    <row r="7" spans="1:4" ht="42" customHeight="1" x14ac:dyDescent="0.2">
      <c r="A7" s="2" t="s">
        <v>21</v>
      </c>
      <c r="B7" s="2">
        <v>2</v>
      </c>
      <c r="C7" s="2">
        <v>2</v>
      </c>
      <c r="D7" s="2" t="s">
        <v>72</v>
      </c>
    </row>
    <row r="8" spans="1:4" ht="42" customHeight="1" x14ac:dyDescent="0.2">
      <c r="A8" s="2" t="s">
        <v>22</v>
      </c>
      <c r="B8" s="2" t="s">
        <v>23</v>
      </c>
      <c r="C8" s="2" t="s">
        <v>23</v>
      </c>
      <c r="D8" s="2" t="s">
        <v>72</v>
      </c>
    </row>
    <row r="9" spans="1:4" ht="42" customHeight="1" x14ac:dyDescent="0.2">
      <c r="A9" s="2" t="s">
        <v>24</v>
      </c>
      <c r="B9" s="2" t="s">
        <v>25</v>
      </c>
      <c r="C9" s="2" t="s">
        <v>25</v>
      </c>
      <c r="D9" s="2" t="s">
        <v>72</v>
      </c>
    </row>
    <row r="10" spans="1:4" ht="42" customHeight="1" x14ac:dyDescent="0.2">
      <c r="A10" s="2" t="s">
        <v>26</v>
      </c>
      <c r="B10" s="2" t="s">
        <v>27</v>
      </c>
      <c r="C10" s="2" t="s">
        <v>27</v>
      </c>
      <c r="D10" s="2" t="s">
        <v>72</v>
      </c>
    </row>
    <row r="11" spans="1:4" ht="42" customHeight="1" x14ac:dyDescent="0.2">
      <c r="A11" s="2" t="s">
        <v>28</v>
      </c>
      <c r="B11" s="2">
        <v>2</v>
      </c>
      <c r="C11" s="2">
        <v>2</v>
      </c>
      <c r="D11" s="2" t="s">
        <v>72</v>
      </c>
    </row>
    <row r="12" spans="1:4" ht="42" customHeight="1" x14ac:dyDescent="0.2">
      <c r="A12" s="2" t="s">
        <v>29</v>
      </c>
      <c r="B12" s="2" t="s">
        <v>30</v>
      </c>
      <c r="C12" s="2" t="s">
        <v>30</v>
      </c>
      <c r="D12" s="2" t="s">
        <v>72</v>
      </c>
    </row>
    <row r="13" spans="1:4" ht="42" customHeight="1" x14ac:dyDescent="0.2">
      <c r="A13" s="2" t="s">
        <v>31</v>
      </c>
      <c r="B13" s="2" t="s">
        <v>32</v>
      </c>
      <c r="C13" s="2" t="s">
        <v>32</v>
      </c>
      <c r="D13" s="2" t="s">
        <v>72</v>
      </c>
    </row>
    <row r="14" spans="1:4" ht="42" customHeight="1" x14ac:dyDescent="0.2">
      <c r="A14" s="2" t="s">
        <v>33</v>
      </c>
      <c r="B14" s="2" t="s">
        <v>34</v>
      </c>
      <c r="C14" s="2" t="s">
        <v>34</v>
      </c>
      <c r="D14" s="2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showGridLines="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43" customWidth="1"/>
    <col min="2" max="2" width="140" customWidth="1"/>
  </cols>
  <sheetData>
    <row r="1" spans="1:2" ht="34" customHeight="1" x14ac:dyDescent="0.2">
      <c r="A1" s="1" t="s">
        <v>35</v>
      </c>
      <c r="B1" s="1" t="s">
        <v>36</v>
      </c>
    </row>
    <row r="2" spans="1:2" ht="85" customHeight="1" x14ac:dyDescent="0.2">
      <c r="A2" s="2" t="s">
        <v>37</v>
      </c>
      <c r="B2" s="2" t="s">
        <v>38</v>
      </c>
    </row>
    <row r="3" spans="1:2" ht="85" customHeight="1" x14ac:dyDescent="0.2">
      <c r="A3" s="2" t="s">
        <v>39</v>
      </c>
      <c r="B3" s="2" t="s">
        <v>40</v>
      </c>
    </row>
    <row r="4" spans="1:2" ht="85" customHeight="1" x14ac:dyDescent="0.2">
      <c r="A4" s="2" t="s">
        <v>41</v>
      </c>
      <c r="B4" s="2" t="s">
        <v>42</v>
      </c>
    </row>
    <row r="5" spans="1:2" ht="85" customHeight="1" x14ac:dyDescent="0.2">
      <c r="A5" s="2" t="s">
        <v>43</v>
      </c>
      <c r="B5" s="2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2C5B-52A4-FE4D-B226-05D025B6D1B7}">
  <dimension ref="A1:I35"/>
  <sheetViews>
    <sheetView workbookViewId="0">
      <selection activeCell="C5" sqref="C5"/>
    </sheetView>
  </sheetViews>
  <sheetFormatPr baseColWidth="10" defaultRowHeight="15" x14ac:dyDescent="0.2"/>
  <cols>
    <col min="1" max="1" width="19.83203125" bestFit="1" customWidth="1"/>
    <col min="2" max="2" width="11.83203125" bestFit="1" customWidth="1"/>
    <col min="3" max="3" width="21.83203125" bestFit="1" customWidth="1"/>
    <col min="4" max="4" width="11.6640625" bestFit="1" customWidth="1"/>
    <col min="5" max="5" width="18.6640625" bestFit="1" customWidth="1"/>
    <col min="6" max="6" width="14.1640625" bestFit="1" customWidth="1"/>
    <col min="7" max="7" width="19.83203125" bestFit="1" customWidth="1"/>
  </cols>
  <sheetData>
    <row r="1" spans="1:9" ht="21" x14ac:dyDescent="0.25">
      <c r="A1" s="23" t="s">
        <v>147</v>
      </c>
      <c r="B1" s="23"/>
      <c r="C1" s="23"/>
      <c r="D1" s="23"/>
      <c r="E1" s="23"/>
      <c r="F1" s="23"/>
      <c r="G1" s="23"/>
      <c r="H1" s="23"/>
      <c r="I1" s="23"/>
    </row>
    <row r="2" spans="1:9" x14ac:dyDescent="0.2">
      <c r="A2" s="22" t="s">
        <v>148</v>
      </c>
      <c r="B2" s="22"/>
      <c r="C2" s="22"/>
      <c r="D2" s="22"/>
      <c r="E2" s="22"/>
      <c r="F2" s="22"/>
      <c r="G2" s="22"/>
      <c r="H2" s="22"/>
      <c r="I2" s="22"/>
    </row>
    <row r="3" spans="1:9" x14ac:dyDescent="0.2">
      <c r="A3" s="22" t="s">
        <v>156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15"/>
      <c r="B4" s="15"/>
    </row>
    <row r="5" spans="1:9" x14ac:dyDescent="0.2">
      <c r="A5" s="16" t="s">
        <v>51</v>
      </c>
      <c r="B5" s="17" t="s">
        <v>149</v>
      </c>
    </row>
    <row r="6" spans="1:9" x14ac:dyDescent="0.2">
      <c r="A6" s="18" t="s">
        <v>102</v>
      </c>
      <c r="B6" s="19">
        <v>2</v>
      </c>
    </row>
    <row r="7" spans="1:9" x14ac:dyDescent="0.2">
      <c r="A7" s="18" t="s">
        <v>103</v>
      </c>
      <c r="B7" s="19">
        <v>3</v>
      </c>
    </row>
    <row r="8" spans="1:9" x14ac:dyDescent="0.2">
      <c r="A8" s="18" t="s">
        <v>105</v>
      </c>
      <c r="B8" s="19">
        <v>2</v>
      </c>
    </row>
    <row r="9" spans="1:9" x14ac:dyDescent="0.2">
      <c r="A9" s="18" t="s">
        <v>107</v>
      </c>
      <c r="B9" s="19">
        <v>1</v>
      </c>
    </row>
    <row r="10" spans="1:9" x14ac:dyDescent="0.2">
      <c r="A10" s="20" t="s">
        <v>150</v>
      </c>
      <c r="B10" s="21">
        <f>SUM(B6:B9)</f>
        <v>8</v>
      </c>
    </row>
    <row r="26" spans="1:7" x14ac:dyDescent="0.2">
      <c r="A26" s="14" t="s">
        <v>45</v>
      </c>
      <c r="B26" s="14" t="s">
        <v>46</v>
      </c>
      <c r="C26" s="14" t="s">
        <v>47</v>
      </c>
      <c r="D26" s="24" t="s">
        <v>48</v>
      </c>
      <c r="E26" s="14" t="s">
        <v>49</v>
      </c>
      <c r="F26" s="14" t="s">
        <v>50</v>
      </c>
      <c r="G26" s="14" t="s">
        <v>51</v>
      </c>
    </row>
    <row r="27" spans="1:7" x14ac:dyDescent="0.2">
      <c r="A27" t="str">
        <f>IF('UC1'!A2="","",'UC1'!A2)</f>
        <v>GL-0001</v>
      </c>
      <c r="B27" t="str">
        <f>IF('UC1'!B2="","",'UC1'!B2)</f>
        <v>Thomas Smith</v>
      </c>
      <c r="C27" t="str">
        <f>IF('UC1'!C2="","",'UC1'!C2)</f>
        <v>Parramatta Family Practice</v>
      </c>
      <c r="D27" s="25">
        <f>IF('UC1'!D2="","",'UC1'!D2)</f>
        <v>46162</v>
      </c>
      <c r="E27">
        <f>IF('UC1'!E2="","",'UC1'!E2)</f>
        <v>62</v>
      </c>
      <c r="F27" t="str">
        <f>IF('UC1'!F2="","",'UC1'!F2)</f>
        <v/>
      </c>
      <c r="G27" t="str">
        <f>IF('UC1'!G2="","",'UC1'!G2)</f>
        <v>HIGH_NO_REVIEW</v>
      </c>
    </row>
    <row r="28" spans="1:7" x14ac:dyDescent="0.2">
      <c r="A28" t="str">
        <f>IF('UC1'!A3="","",'UC1'!A3)</f>
        <v>GL-0002</v>
      </c>
      <c r="B28" t="str">
        <f>IF('UC1'!B3="","",'UC1'!B3)</f>
        <v>Mei Chen</v>
      </c>
      <c r="C28" t="str">
        <f>IF('UC1'!C3="","",'UC1'!C3)</f>
        <v>Parramatta Family Practice</v>
      </c>
      <c r="D28" s="25">
        <f>IF('UC1'!D3="","",'UC1'!D3)</f>
        <v>46204</v>
      </c>
      <c r="E28">
        <f>IF('UC1'!E3="","",'UC1'!E3)</f>
        <v>58</v>
      </c>
      <c r="G28" t="str">
        <f>IF('UC1'!G3="","",'UC1'!G3)</f>
        <v>HIGH_REVIEW_PENDING</v>
      </c>
    </row>
    <row r="29" spans="1:7" x14ac:dyDescent="0.2">
      <c r="A29" t="str">
        <f>IF('UC1'!A4="","",'UC1'!A4)</f>
        <v>GL-0003</v>
      </c>
      <c r="B29" t="str">
        <f>IF('UC1'!B4="","",'UC1'!B4)</f>
        <v>Ahmed Khan</v>
      </c>
      <c r="C29" t="str">
        <f>IF('UC1'!C4="","",'UC1'!C4)</f>
        <v>Blacktown Medical Centre</v>
      </c>
      <c r="D29" s="25">
        <f>IF('UC1'!D4="","",'UC1'!D4)</f>
        <v>45992</v>
      </c>
      <c r="E29">
        <f>IF('UC1'!E4="","",'UC1'!E4)</f>
        <v>51</v>
      </c>
      <c r="G29" t="str">
        <f>IF('UC1'!G4="","",'UC1'!G4)</f>
        <v>OVERDUE_TEST</v>
      </c>
    </row>
    <row r="30" spans="1:7" x14ac:dyDescent="0.2">
      <c r="A30" t="str">
        <f>IF('UC1'!A5="","",'UC1'!A5)</f>
        <v>GL-0006</v>
      </c>
      <c r="B30" t="str">
        <f>IF('UC1'!B5="","",'UC1'!B5)</f>
        <v>Daniel Nguyen</v>
      </c>
      <c r="C30" t="str">
        <f>IF('UC1'!C5="","",'UC1'!C5)</f>
        <v>Parramatta Family Practice</v>
      </c>
      <c r="D30" s="25" t="str">
        <f>IF('UC1'!D5="","",'UC1'!D5)</f>
        <v/>
      </c>
      <c r="E30" t="str">
        <f>IF('UC1'!E5="","",'UC1'!E5)</f>
        <v/>
      </c>
      <c r="G30" t="str">
        <f>IF('UC1'!G5="","",'UC1'!G5)</f>
        <v>NO_TEST_ON_RECORD</v>
      </c>
    </row>
    <row r="31" spans="1:7" x14ac:dyDescent="0.2">
      <c r="A31" t="str">
        <f>IF('UC1'!A6="","",'UC1'!A6)</f>
        <v>GL-0010</v>
      </c>
      <c r="B31" t="str">
        <f>IF('UC1'!B6="","",'UC1'!B6)</f>
        <v>William Jones</v>
      </c>
      <c r="C31" t="str">
        <f>IF('UC1'!C6="","",'UC1'!C6)</f>
        <v>Blacktown Medical Centre</v>
      </c>
      <c r="D31" s="25">
        <f>IF('UC1'!D6="","",'UC1'!D6)</f>
        <v>46054</v>
      </c>
      <c r="E31">
        <f>IF('UC1'!E6="","",'UC1'!E6)</f>
        <v>52</v>
      </c>
      <c r="G31" t="str">
        <f>IF('UC1'!G6="","",'UC1'!G6)</f>
        <v>OVERDUE_TEST</v>
      </c>
    </row>
    <row r="32" spans="1:7" x14ac:dyDescent="0.2">
      <c r="A32" t="str">
        <f>IF('UC1'!A7="","",'UC1'!A7)</f>
        <v>GL-0012</v>
      </c>
      <c r="B32" t="str">
        <f>IF('UC1'!B7="","",'UC1'!B7)</f>
        <v>Lucas Martin</v>
      </c>
      <c r="C32" t="str">
        <f>IF('UC1'!C7="","",'UC1'!C7)</f>
        <v>Parramatta Family Practice</v>
      </c>
      <c r="D32" s="25">
        <f>IF('UC1'!D7="","",'UC1'!D7)</f>
        <v>46152</v>
      </c>
      <c r="E32">
        <f>IF('UC1'!E7="","",'UC1'!E7)</f>
        <v>57</v>
      </c>
      <c r="G32" t="str">
        <f>IF('UC1'!G7="","",'UC1'!G7)</f>
        <v>HIGH_NO_REVIEW</v>
      </c>
    </row>
    <row r="33" spans="1:7" x14ac:dyDescent="0.2">
      <c r="A33" t="str">
        <f>IF('UC1'!A8="","",'UC1'!A8)</f>
        <v>GL-0014</v>
      </c>
      <c r="B33" t="str">
        <f>IF('UC1'!B8="","",'UC1'!B8)</f>
        <v>Noah Harris</v>
      </c>
      <c r="C33" t="str">
        <f>IF('UC1'!C8="","",'UC1'!C8)</f>
        <v>Penrith GP Clinic</v>
      </c>
      <c r="D33" s="25">
        <f>IF('UC1'!D8="","",'UC1'!D8)</f>
        <v>46244</v>
      </c>
      <c r="E33">
        <f>IF('UC1'!E8="","",'UC1'!E8)</f>
        <v>58</v>
      </c>
      <c r="G33" t="str">
        <f>IF('UC1'!G8="","",'UC1'!G8)</f>
        <v>HIGH_REVIEW_PENDING</v>
      </c>
    </row>
    <row r="34" spans="1:7" x14ac:dyDescent="0.2">
      <c r="A34" t="str">
        <f>IF('UC1'!A9="","",'UC1'!A9)</f>
        <v>GL-0016</v>
      </c>
      <c r="B34" t="str">
        <f>IF('UC1'!B9="","",'UC1'!B9)</f>
        <v>Zoe Clark</v>
      </c>
      <c r="C34" t="str">
        <f>IF('UC1'!C9="","",'UC1'!C9)</f>
        <v>Blacktown Medical Centre</v>
      </c>
      <c r="D34" s="25">
        <f>IF('UC1'!D9="","",'UC1'!D9)</f>
        <v>46178</v>
      </c>
      <c r="E34">
        <f>IF('UC1'!E9="","",'UC1'!E9)</f>
        <v>65</v>
      </c>
      <c r="G34" t="str">
        <f>IF('UC1'!G9="","",'UC1'!G9)</f>
        <v>HIGH_REVIEW_PENDING</v>
      </c>
    </row>
    <row r="35" spans="1:7" x14ac:dyDescent="0.2">
      <c r="A35" t="str">
        <f>IF('UC1'!A10="","",'UC1'!A10)</f>
        <v/>
      </c>
    </row>
  </sheetData>
  <mergeCells count="3">
    <mergeCell ref="A2:I2"/>
    <mergeCell ref="A1:I1"/>
    <mergeCell ref="A3:I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67F2-A75A-8242-871F-F27DA342D96E}">
  <dimension ref="A1:I16"/>
  <sheetViews>
    <sheetView workbookViewId="0">
      <selection activeCell="A4" sqref="A4"/>
    </sheetView>
  </sheetViews>
  <sheetFormatPr baseColWidth="10" defaultRowHeight="15" x14ac:dyDescent="0.2"/>
  <cols>
    <col min="1" max="1" width="25" bestFit="1" customWidth="1"/>
    <col min="3" max="3" width="14.33203125" bestFit="1" customWidth="1"/>
  </cols>
  <sheetData>
    <row r="1" spans="1:9" ht="21" x14ac:dyDescent="0.25">
      <c r="A1" s="26" t="s">
        <v>151</v>
      </c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22" t="s">
        <v>153</v>
      </c>
      <c r="B2" s="22"/>
      <c r="C2" s="22"/>
      <c r="D2" s="22"/>
      <c r="E2" s="22"/>
      <c r="F2" s="22"/>
      <c r="G2" s="22"/>
      <c r="H2" s="22"/>
      <c r="I2" s="22"/>
    </row>
    <row r="3" spans="1:9" x14ac:dyDescent="0.2">
      <c r="A3" s="27" t="s">
        <v>157</v>
      </c>
      <c r="B3" s="22"/>
      <c r="C3" s="22"/>
      <c r="D3" s="22"/>
      <c r="E3" s="22"/>
      <c r="F3" s="22"/>
      <c r="G3" s="22"/>
      <c r="H3" s="22"/>
      <c r="I3" s="22"/>
    </row>
    <row r="5" spans="1:9" x14ac:dyDescent="0.2">
      <c r="A5" s="14" t="s">
        <v>152</v>
      </c>
      <c r="B5" s="14" t="s">
        <v>57</v>
      </c>
      <c r="C5" s="14" t="s">
        <v>58</v>
      </c>
      <c r="D5" s="14" t="s">
        <v>76</v>
      </c>
      <c r="E5" s="14" t="s">
        <v>79</v>
      </c>
      <c r="F5" s="14" t="s">
        <v>53</v>
      </c>
    </row>
    <row r="6" spans="1:9" x14ac:dyDescent="0.2">
      <c r="A6" t="str" cm="1">
        <f t="array" ref="A6:A16">_xlfn.SORTBY('UC2'!A2:A12&amp;" "&amp;'UC2'!B2:B12&amp;" ("&amp;TEXT('UC2'!G2:G12,"0.000")&amp;")", 'UC2'!G2:G12, 1)</f>
        <v>GL-0002 Mei Chen (0.333)</v>
      </c>
      <c r="B6" cm="1">
        <f t="array" ref="B6:B16">_xlfn._xlws.SORT('UC2'!G2:G12)</f>
        <v>0.33300000000000002</v>
      </c>
      <c r="C6" t="str" cm="1">
        <f t="array" ref="C6:C16">_xlfn.SORTBY('UC2'!H2:H12, 'UC2'!G2:G12, 1)</f>
        <v>NON_ADHERENT</v>
      </c>
      <c r="D6" t="e">
        <f>IF(C6="ADHERENT", B6, NA())</f>
        <v>#N/A</v>
      </c>
      <c r="E6">
        <f>IF(C6="NON_ADHERENT", B6, NA())</f>
        <v>0.33300000000000002</v>
      </c>
      <c r="F6" t="str" cm="1">
        <f t="array" ref="F6:F16">_xlfn.SORTBY('UC2'!C2:C12, 'UC2'!G2:G12, 1)</f>
        <v>biguanide</v>
      </c>
    </row>
    <row r="7" spans="1:9" x14ac:dyDescent="0.2">
      <c r="A7" t="str">
        <v>GL-0010 William Jones (0.500)</v>
      </c>
      <c r="B7">
        <v>0.5</v>
      </c>
      <c r="C7" t="str">
        <v>NON_ADHERENT</v>
      </c>
      <c r="D7" t="e">
        <f>IF(C7="ADHERENT", B7, NA())</f>
        <v>#N/A</v>
      </c>
      <c r="E7">
        <f>IF(C7="NON_ADHERENT", B7, NA())</f>
        <v>0.5</v>
      </c>
      <c r="F7" t="str">
        <v>biguanide</v>
      </c>
    </row>
    <row r="8" spans="1:9" x14ac:dyDescent="0.2">
      <c r="A8" t="str">
        <v>GL-0017 Ethan Lewis (0.917)</v>
      </c>
      <c r="B8">
        <v>0.91700000000000004</v>
      </c>
      <c r="C8" t="str">
        <v>ADHERENT</v>
      </c>
      <c r="D8">
        <f>IF(C8="ADHERENT", B8, NA())</f>
        <v>0.91700000000000004</v>
      </c>
      <c r="E8" t="e">
        <f>IF(C8="NON_ADHERENT", B8, NA())</f>
        <v>#N/A</v>
      </c>
      <c r="F8" t="str">
        <v>biguanide</v>
      </c>
    </row>
    <row r="9" spans="1:9" x14ac:dyDescent="0.2">
      <c r="A9" t="str">
        <v>GL-0005 James Wilson (0.972)</v>
      </c>
      <c r="B9">
        <v>0.97199999999999998</v>
      </c>
      <c r="C9" t="str">
        <v>ADHERENT</v>
      </c>
      <c r="D9">
        <f>IF(C9="ADHERENT", B9, NA())</f>
        <v>0.97199999999999998</v>
      </c>
      <c r="E9" t="e">
        <f>IF(C9="NON_ADHERENT", B9, NA())</f>
        <v>#N/A</v>
      </c>
      <c r="F9" t="str">
        <v>biguanide</v>
      </c>
    </row>
    <row r="10" spans="1:9" x14ac:dyDescent="0.2">
      <c r="A10" t="str">
        <v>GL-0012 Lucas Martin (0.972)</v>
      </c>
      <c r="B10">
        <v>0.97199999999999998</v>
      </c>
      <c r="C10" t="str">
        <v>ADHERENT</v>
      </c>
      <c r="D10">
        <f>IF(C10="ADHERENT", B10, NA())</f>
        <v>0.97199999999999998</v>
      </c>
      <c r="E10" t="e">
        <f>IF(C10="NON_ADHERENT", B10, NA())</f>
        <v>#N/A</v>
      </c>
      <c r="F10" t="str">
        <v>biguanide</v>
      </c>
    </row>
    <row r="11" spans="1:9" x14ac:dyDescent="0.2">
      <c r="A11" t="str">
        <v>GL-0003 Ahmed Khan (0.978)</v>
      </c>
      <c r="B11">
        <v>0.97799999999999998</v>
      </c>
      <c r="C11" t="str">
        <v>ADHERENT</v>
      </c>
      <c r="D11">
        <f t="shared" ref="D11:D16" si="0">IF(C11="ADHERENT", B11, NA())</f>
        <v>0.97799999999999998</v>
      </c>
      <c r="E11" t="e">
        <f t="shared" ref="E11:E16" si="1">IF(C11="NON_ADHERENT", B11, NA())</f>
        <v>#N/A</v>
      </c>
      <c r="F11" t="str">
        <v>biguanide</v>
      </c>
    </row>
    <row r="12" spans="1:9" x14ac:dyDescent="0.2">
      <c r="A12" t="str">
        <v>GL-0008 Sarah Lee (0.978)</v>
      </c>
      <c r="B12">
        <v>0.97799999999999998</v>
      </c>
      <c r="C12" t="str">
        <v>ADHERENT</v>
      </c>
      <c r="D12">
        <f t="shared" si="0"/>
        <v>0.97799999999999998</v>
      </c>
      <c r="E12" t="e">
        <f t="shared" si="1"/>
        <v>#N/A</v>
      </c>
      <c r="F12" t="str">
        <v>biguanide</v>
      </c>
    </row>
    <row r="13" spans="1:9" x14ac:dyDescent="0.2">
      <c r="A13" t="str">
        <v>GL-0001 Thomas Smith (0.989)</v>
      </c>
      <c r="B13">
        <v>0.98899999999999999</v>
      </c>
      <c r="C13" t="str">
        <v>ADHERENT</v>
      </c>
      <c r="D13">
        <f t="shared" si="0"/>
        <v>0.98899999999999999</v>
      </c>
      <c r="E13" t="e">
        <f t="shared" si="1"/>
        <v>#N/A</v>
      </c>
      <c r="F13" t="str">
        <v>biguanide</v>
      </c>
    </row>
    <row r="14" spans="1:9" x14ac:dyDescent="0.2">
      <c r="A14" t="str">
        <v>GL-0007 Daniel Nguyen (1.000)</v>
      </c>
      <c r="B14">
        <v>1</v>
      </c>
      <c r="C14" t="str">
        <v>ADHERENT</v>
      </c>
      <c r="D14">
        <f t="shared" si="0"/>
        <v>1</v>
      </c>
      <c r="E14" t="e">
        <f t="shared" si="1"/>
        <v>#N/A</v>
      </c>
      <c r="F14" t="str">
        <v>sulfonylurea</v>
      </c>
    </row>
    <row r="15" spans="1:9" x14ac:dyDescent="0.2">
      <c r="A15" t="str">
        <v>GL-0009 Grace Taylor (1.000)</v>
      </c>
      <c r="B15">
        <v>1</v>
      </c>
      <c r="C15" t="str">
        <v>ADHERENT</v>
      </c>
      <c r="D15">
        <f t="shared" si="0"/>
        <v>1</v>
      </c>
      <c r="E15" t="e">
        <f t="shared" si="1"/>
        <v>#N/A</v>
      </c>
      <c r="F15" t="str">
        <v>biguanide</v>
      </c>
    </row>
    <row r="16" spans="1:9" x14ac:dyDescent="0.2">
      <c r="A16" t="str">
        <v>GL-0016 Zoe Clark (1.000)</v>
      </c>
      <c r="B16">
        <v>1</v>
      </c>
      <c r="C16" t="str">
        <v>ADHERENT</v>
      </c>
      <c r="D16">
        <f t="shared" si="0"/>
        <v>1</v>
      </c>
      <c r="E16" t="e">
        <f t="shared" si="1"/>
        <v>#N/A</v>
      </c>
      <c r="F16" t="str">
        <v>DPP-4 inhibitor</v>
      </c>
    </row>
  </sheetData>
  <mergeCells count="3">
    <mergeCell ref="A2:I2"/>
    <mergeCell ref="A1:I1"/>
    <mergeCell ref="A3:I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DFB2-8F2F-EA44-BB18-2E88CEFD301E}">
  <dimension ref="A1:I22"/>
  <sheetViews>
    <sheetView workbookViewId="0">
      <selection sqref="A1:I1"/>
    </sheetView>
  </sheetViews>
  <sheetFormatPr baseColWidth="10" defaultRowHeight="15" x14ac:dyDescent="0.2"/>
  <cols>
    <col min="1" max="1" width="13.1640625" bestFit="1" customWidth="1"/>
    <col min="3" max="3" width="18.6640625" bestFit="1" customWidth="1"/>
    <col min="5" max="5" width="10.83203125" style="28"/>
    <col min="8" max="8" width="20.5" bestFit="1" customWidth="1"/>
  </cols>
  <sheetData>
    <row r="1" spans="1:9" ht="21" x14ac:dyDescent="0.25">
      <c r="A1" s="26" t="s">
        <v>154</v>
      </c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22" t="s">
        <v>153</v>
      </c>
      <c r="B2" s="22"/>
      <c r="C2" s="22"/>
      <c r="D2" s="22"/>
      <c r="E2" s="22"/>
      <c r="F2" s="22"/>
      <c r="G2" s="22"/>
      <c r="H2" s="22"/>
      <c r="I2" s="22"/>
    </row>
    <row r="3" spans="1:9" x14ac:dyDescent="0.2">
      <c r="A3" s="27" t="s">
        <v>158</v>
      </c>
      <c r="B3" s="22"/>
      <c r="C3" s="22"/>
      <c r="D3" s="22"/>
      <c r="E3" s="22"/>
      <c r="F3" s="22"/>
      <c r="G3" s="22"/>
      <c r="H3" s="22"/>
      <c r="I3" s="22"/>
    </row>
    <row r="5" spans="1:9" x14ac:dyDescent="0.2">
      <c r="A5" s="29" t="s">
        <v>155</v>
      </c>
      <c r="B5" s="30" t="s">
        <v>65</v>
      </c>
      <c r="C5" s="31" t="s">
        <v>66</v>
      </c>
      <c r="D5" s="30" t="s">
        <v>111</v>
      </c>
      <c r="E5" s="30" t="s">
        <v>112</v>
      </c>
      <c r="F5" s="31" t="s">
        <v>61</v>
      </c>
      <c r="G5" s="31" t="s">
        <v>67</v>
      </c>
      <c r="H5" s="32" t="s">
        <v>68</v>
      </c>
    </row>
    <row r="6" spans="1:9" x14ac:dyDescent="0.2">
      <c r="A6" s="33" t="str">
        <f>'UC3'!A2&amp;IF('UC3'!K2=TRUE," *","")&amp;IF('UC3'!I2="INSUFFICIENT_HISTORY"," (1 test)","")</f>
        <v>GL-0001 *</v>
      </c>
      <c r="B6" s="34">
        <f>IF('UC3'!H2="","",'UC3'!H2)</f>
        <v>12</v>
      </c>
      <c r="C6" s="35" t="str">
        <f>'UC3'!I2</f>
        <v>RISING</v>
      </c>
      <c r="D6" s="34">
        <f>IF('UC3'!I2="RISING",'UC3'!H2,NA())</f>
        <v>12</v>
      </c>
      <c r="E6" s="34" t="e">
        <f>IF('UC3'!I2="STABLE",'UC3'!H2,NA())</f>
        <v>#N/A</v>
      </c>
      <c r="F6" s="35">
        <f>'UC3'!C2</f>
        <v>3</v>
      </c>
      <c r="G6" s="35">
        <f>IF('UC3'!J2="","",'UC3'!J2)</f>
        <v>0.98899999999999999</v>
      </c>
      <c r="H6" s="36" t="b">
        <f>'UC3'!K2</f>
        <v>1</v>
      </c>
    </row>
    <row r="7" spans="1:9" x14ac:dyDescent="0.2">
      <c r="A7" s="33" t="str">
        <f>'UC3'!A3&amp;IF('UC3'!K3=TRUE," *","")&amp;IF('UC3'!I3="INSUFFICIENT_HISTORY"," (1 test)","")</f>
        <v>GL-0002</v>
      </c>
      <c r="B7" s="34">
        <f>IF('UC3'!H3="","",'UC3'!H3)</f>
        <v>0</v>
      </c>
      <c r="C7" s="35" t="str">
        <f>'UC3'!I3</f>
        <v>STABLE</v>
      </c>
      <c r="D7" s="34" t="e">
        <f>IF('UC3'!I3="RISING",'UC3'!H3,NA())</f>
        <v>#N/A</v>
      </c>
      <c r="E7" s="34">
        <f>IF('UC3'!I3="STABLE",'UC3'!H3,NA())</f>
        <v>0</v>
      </c>
      <c r="F7" s="35">
        <f>'UC3'!C3</f>
        <v>3</v>
      </c>
      <c r="G7" s="35">
        <f>IF('UC3'!J3="","",'UC3'!J3)</f>
        <v>0.33300000000000002</v>
      </c>
      <c r="H7" s="36" t="b">
        <f>'UC3'!K3</f>
        <v>0</v>
      </c>
    </row>
    <row r="8" spans="1:9" x14ac:dyDescent="0.2">
      <c r="A8" s="33" t="str">
        <f>'UC3'!A4&amp;IF('UC3'!K4=TRUE," *","")&amp;IF('UC3'!I4="INSUFFICIENT_HISTORY"," (1 test)","")</f>
        <v>GL-0003 (1 test)</v>
      </c>
      <c r="B8" s="34" t="str">
        <f>IF('UC3'!H4="","",'UC3'!H4)</f>
        <v/>
      </c>
      <c r="C8" s="35" t="str">
        <f>'UC3'!I4</f>
        <v>INSUFFICIENT_HISTORY</v>
      </c>
      <c r="D8" s="34" t="e">
        <f>IF('UC3'!I4="RISING",'UC3'!H4,NA())</f>
        <v>#N/A</v>
      </c>
      <c r="E8" s="34" t="e">
        <f>IF('UC3'!I4="STABLE",'UC3'!H4,NA())</f>
        <v>#N/A</v>
      </c>
      <c r="F8" s="35">
        <f>'UC3'!C4</f>
        <v>1</v>
      </c>
      <c r="G8" s="35">
        <f>IF('UC3'!J4="","",'UC3'!J4)</f>
        <v>0.97799999999999998</v>
      </c>
      <c r="H8" s="36" t="b">
        <f>'UC3'!K4</f>
        <v>0</v>
      </c>
    </row>
    <row r="9" spans="1:9" x14ac:dyDescent="0.2">
      <c r="A9" s="33" t="str">
        <f>'UC3'!A5&amp;IF('UC3'!K5=TRUE," *","")&amp;IF('UC3'!I5="INSUFFICIENT_HISTORY"," (1 test)","")</f>
        <v>GL-0004</v>
      </c>
      <c r="B9" s="34">
        <f>IF('UC3'!H5="","",'UC3'!H5)</f>
        <v>1</v>
      </c>
      <c r="C9" s="35" t="str">
        <f>'UC3'!I5</f>
        <v>STABLE</v>
      </c>
      <c r="D9" s="34" t="e">
        <f>IF('UC3'!I5="RISING",'UC3'!H5,NA())</f>
        <v>#N/A</v>
      </c>
      <c r="E9" s="34">
        <f>IF('UC3'!I5="STABLE",'UC3'!H5,NA())</f>
        <v>1</v>
      </c>
      <c r="F9" s="35">
        <f>'UC3'!C5</f>
        <v>2</v>
      </c>
      <c r="G9" s="35" t="str">
        <f>IF('UC3'!J5="","",'UC3'!J5)</f>
        <v/>
      </c>
      <c r="H9" s="36" t="b">
        <f>'UC3'!K5</f>
        <v>0</v>
      </c>
    </row>
    <row r="10" spans="1:9" x14ac:dyDescent="0.2">
      <c r="A10" s="33" t="str">
        <f>'UC3'!A6&amp;IF('UC3'!K6=TRUE," *","")&amp;IF('UC3'!I6="INSUFFICIENT_HISTORY"," (1 test)","")</f>
        <v>GL-0005</v>
      </c>
      <c r="B10" s="34">
        <f>IF('UC3'!H6="","",'UC3'!H6)</f>
        <v>1.1000000000000001</v>
      </c>
      <c r="C10" s="35" t="str">
        <f>'UC3'!I6</f>
        <v>STABLE</v>
      </c>
      <c r="D10" s="34" t="e">
        <f>IF('UC3'!I6="RISING",'UC3'!H6,NA())</f>
        <v>#N/A</v>
      </c>
      <c r="E10" s="34">
        <f>IF('UC3'!I6="STABLE",'UC3'!H6,NA())</f>
        <v>1.1000000000000001</v>
      </c>
      <c r="F10" s="35">
        <f>'UC3'!C6</f>
        <v>2</v>
      </c>
      <c r="G10" s="35">
        <f>IF('UC3'!J6="","",'UC3'!J6)</f>
        <v>0.97199999999999998</v>
      </c>
      <c r="H10" s="36" t="b">
        <f>'UC3'!K6</f>
        <v>0</v>
      </c>
    </row>
    <row r="11" spans="1:9" x14ac:dyDescent="0.2">
      <c r="A11" s="33" t="str">
        <f>'UC3'!A7&amp;IF('UC3'!K7=TRUE," *","")&amp;IF('UC3'!I7="INSUFFICIENT_HISTORY"," (1 test)","")</f>
        <v>GL-0007 (1 test)</v>
      </c>
      <c r="B11" s="34" t="str">
        <f>IF('UC3'!H7="","",'UC3'!H7)</f>
        <v/>
      </c>
      <c r="C11" s="35" t="str">
        <f>'UC3'!I7</f>
        <v>INSUFFICIENT_HISTORY</v>
      </c>
      <c r="D11" s="34" t="e">
        <f>IF('UC3'!I7="RISING",'UC3'!H7,NA())</f>
        <v>#N/A</v>
      </c>
      <c r="E11" s="34" t="e">
        <f>IF('UC3'!I7="STABLE",'UC3'!H7,NA())</f>
        <v>#N/A</v>
      </c>
      <c r="F11" s="35">
        <f>'UC3'!C7</f>
        <v>1</v>
      </c>
      <c r="G11" s="35">
        <f>IF('UC3'!J7="","",'UC3'!J7)</f>
        <v>1</v>
      </c>
      <c r="H11" s="36" t="b">
        <f>'UC3'!K7</f>
        <v>0</v>
      </c>
    </row>
    <row r="12" spans="1:9" x14ac:dyDescent="0.2">
      <c r="A12" s="33" t="str">
        <f>'UC3'!A8&amp;IF('UC3'!K8=TRUE," *","")&amp;IF('UC3'!I8="INSUFFICIENT_HISTORY"," (1 test)","")</f>
        <v>GL-0008</v>
      </c>
      <c r="B12" s="34">
        <f>IF('UC3'!H8="","",'UC3'!H8)</f>
        <v>-1</v>
      </c>
      <c r="C12" s="35" t="str">
        <f>'UC3'!I8</f>
        <v>STABLE</v>
      </c>
      <c r="D12" s="34" t="e">
        <f>IF('UC3'!I8="RISING",'UC3'!H8,NA())</f>
        <v>#N/A</v>
      </c>
      <c r="E12" s="34">
        <f>IF('UC3'!I8="STABLE",'UC3'!H8,NA())</f>
        <v>-1</v>
      </c>
      <c r="F12" s="35">
        <f>'UC3'!C8</f>
        <v>2</v>
      </c>
      <c r="G12" s="35">
        <f>IF('UC3'!J8="","",'UC3'!J8)</f>
        <v>0.97799999999999998</v>
      </c>
      <c r="H12" s="36" t="b">
        <f>'UC3'!K8</f>
        <v>0</v>
      </c>
    </row>
    <row r="13" spans="1:9" x14ac:dyDescent="0.2">
      <c r="A13" s="33" t="str">
        <f>'UC3'!A9&amp;IF('UC3'!K9=TRUE," *","")&amp;IF('UC3'!I9="INSUFFICIENT_HISTORY"," (1 test)","")</f>
        <v>GL-0009</v>
      </c>
      <c r="B13" s="34">
        <f>IF('UC3'!H9="","",'UC3'!H9)</f>
        <v>-1</v>
      </c>
      <c r="C13" s="35" t="str">
        <f>'UC3'!I9</f>
        <v>STABLE</v>
      </c>
      <c r="D13" s="34" t="e">
        <f>IF('UC3'!I9="RISING",'UC3'!H9,NA())</f>
        <v>#N/A</v>
      </c>
      <c r="E13" s="34">
        <f>IF('UC3'!I9="STABLE",'UC3'!H9,NA())</f>
        <v>-1</v>
      </c>
      <c r="F13" s="35">
        <f>'UC3'!C9</f>
        <v>4</v>
      </c>
      <c r="G13" s="35">
        <f>IF('UC3'!J9="","",'UC3'!J9)</f>
        <v>1</v>
      </c>
      <c r="H13" s="36" t="b">
        <f>'UC3'!K9</f>
        <v>0</v>
      </c>
    </row>
    <row r="14" spans="1:9" x14ac:dyDescent="0.2">
      <c r="A14" s="33" t="str">
        <f>'UC3'!A10&amp;IF('UC3'!K10=TRUE," *","")&amp;IF('UC3'!I10="INSUFFICIENT_HISTORY"," (1 test)","")</f>
        <v>GL-0010 (1 test)</v>
      </c>
      <c r="B14" s="34" t="str">
        <f>IF('UC3'!H10="","",'UC3'!H10)</f>
        <v/>
      </c>
      <c r="C14" s="35" t="str">
        <f>'UC3'!I10</f>
        <v>INSUFFICIENT_HISTORY</v>
      </c>
      <c r="D14" s="34" t="e">
        <f>IF('UC3'!I10="RISING",'UC3'!H10,NA())</f>
        <v>#N/A</v>
      </c>
      <c r="E14" s="34" t="e">
        <f>IF('UC3'!I10="STABLE",'UC3'!H10,NA())</f>
        <v>#N/A</v>
      </c>
      <c r="F14" s="35">
        <f>'UC3'!C10</f>
        <v>1</v>
      </c>
      <c r="G14" s="35">
        <f>IF('UC3'!J10="","",'UC3'!J10)</f>
        <v>0.5</v>
      </c>
      <c r="H14" s="36" t="b">
        <f>'UC3'!K10</f>
        <v>0</v>
      </c>
    </row>
    <row r="15" spans="1:9" x14ac:dyDescent="0.2">
      <c r="A15" s="33" t="str">
        <f>'UC3'!A11&amp;IF('UC3'!K11=TRUE," *","")&amp;IF('UC3'!I11="INSUFFICIENT_HISTORY"," (1 test)","")</f>
        <v>GL-0011</v>
      </c>
      <c r="B15" s="34">
        <f>IF('UC3'!H11="","",'UC3'!H11)</f>
        <v>-4</v>
      </c>
      <c r="C15" s="35" t="str">
        <f>'UC3'!I11</f>
        <v>STABLE</v>
      </c>
      <c r="D15" s="34" t="e">
        <f>IF('UC3'!I11="RISING",'UC3'!H11,NA())</f>
        <v>#N/A</v>
      </c>
      <c r="E15" s="34">
        <f>IF('UC3'!I11="STABLE",'UC3'!H11,NA())</f>
        <v>-4</v>
      </c>
      <c r="F15" s="35">
        <f>'UC3'!C11</f>
        <v>2</v>
      </c>
      <c r="G15" s="35" t="str">
        <f>IF('UC3'!J11="","",'UC3'!J11)</f>
        <v/>
      </c>
      <c r="H15" s="36" t="b">
        <f>'UC3'!K11</f>
        <v>0</v>
      </c>
    </row>
    <row r="16" spans="1:9" x14ac:dyDescent="0.2">
      <c r="A16" s="33" t="str">
        <f>'UC3'!A12&amp;IF('UC3'!K12=TRUE," *","")&amp;IF('UC3'!I12="INSUFFICIENT_HISTORY"," (1 test)","")</f>
        <v>GL-0012 (1 test)</v>
      </c>
      <c r="B16" s="34" t="str">
        <f>IF('UC3'!H12="","",'UC3'!H12)</f>
        <v/>
      </c>
      <c r="C16" s="35" t="str">
        <f>'UC3'!I12</f>
        <v>INSUFFICIENT_HISTORY</v>
      </c>
      <c r="D16" s="34" t="e">
        <f>IF('UC3'!I12="RISING",'UC3'!H12,NA())</f>
        <v>#N/A</v>
      </c>
      <c r="E16" s="34" t="e">
        <f>IF('UC3'!I12="STABLE",'UC3'!H12,NA())</f>
        <v>#N/A</v>
      </c>
      <c r="F16" s="35">
        <f>'UC3'!C12</f>
        <v>1</v>
      </c>
      <c r="G16" s="35">
        <f>IF('UC3'!J12="","",'UC3'!J12)</f>
        <v>0.97199999999999998</v>
      </c>
      <c r="H16" s="36" t="b">
        <f>'UC3'!K12</f>
        <v>0</v>
      </c>
    </row>
    <row r="17" spans="1:8" x14ac:dyDescent="0.2">
      <c r="A17" s="33" t="str">
        <f>'UC3'!A13&amp;IF('UC3'!K13=TRUE," *","")&amp;IF('UC3'!I13="INSUFFICIENT_HISTORY"," (1 test)","")</f>
        <v>GL-0013</v>
      </c>
      <c r="B17" s="34">
        <f>IF('UC3'!H13="","",'UC3'!H13)</f>
        <v>5</v>
      </c>
      <c r="C17" s="35" t="str">
        <f>'UC3'!I13</f>
        <v>RISING</v>
      </c>
      <c r="D17" s="34">
        <f>IF('UC3'!I13="RISING",'UC3'!H13,NA())</f>
        <v>5</v>
      </c>
      <c r="E17" s="34" t="e">
        <f>IF('UC3'!I13="STABLE",'UC3'!H13,NA())</f>
        <v>#N/A</v>
      </c>
      <c r="F17" s="35">
        <f>'UC3'!C13</f>
        <v>2</v>
      </c>
      <c r="G17" s="35" t="str">
        <f>IF('UC3'!J13="","",'UC3'!J13)</f>
        <v/>
      </c>
      <c r="H17" s="36" t="b">
        <f>'UC3'!K13</f>
        <v>0</v>
      </c>
    </row>
    <row r="18" spans="1:8" x14ac:dyDescent="0.2">
      <c r="A18" s="33" t="str">
        <f>'UC3'!A14&amp;IF('UC3'!K14=TRUE," *","")&amp;IF('UC3'!I14="INSUFFICIENT_HISTORY"," (1 test)","")</f>
        <v>GL-0014</v>
      </c>
      <c r="B18" s="34">
        <f>IF('UC3'!H14="","",'UC3'!H14)</f>
        <v>6</v>
      </c>
      <c r="C18" s="35" t="str">
        <f>'UC3'!I14</f>
        <v>RISING</v>
      </c>
      <c r="D18" s="34">
        <f>IF('UC3'!I14="RISING",'UC3'!H14,NA())</f>
        <v>6</v>
      </c>
      <c r="E18" s="34" t="e">
        <f>IF('UC3'!I14="STABLE",'UC3'!H14,NA())</f>
        <v>#N/A</v>
      </c>
      <c r="F18" s="35">
        <f>'UC3'!C14</f>
        <v>2</v>
      </c>
      <c r="G18" s="35" t="str">
        <f>IF('UC3'!J14="","",'UC3'!J14)</f>
        <v/>
      </c>
      <c r="H18" s="36" t="b">
        <f>'UC3'!K14</f>
        <v>0</v>
      </c>
    </row>
    <row r="19" spans="1:8" x14ac:dyDescent="0.2">
      <c r="A19" s="33" t="str">
        <f>'UC3'!A15&amp;IF('UC3'!K15=TRUE," *","")&amp;IF('UC3'!I15="INSUFFICIENT_HISTORY"," (1 test)","")</f>
        <v>GL-0015</v>
      </c>
      <c r="B19" s="34">
        <f>IF('UC3'!H15="","",'UC3'!H15)</f>
        <v>-1</v>
      </c>
      <c r="C19" s="35" t="str">
        <f>'UC3'!I15</f>
        <v>STABLE</v>
      </c>
      <c r="D19" s="34" t="e">
        <f>IF('UC3'!I15="RISING",'UC3'!H15,NA())</f>
        <v>#N/A</v>
      </c>
      <c r="E19" s="34">
        <f>IF('UC3'!I15="STABLE",'UC3'!H15,NA())</f>
        <v>-1</v>
      </c>
      <c r="F19" s="35">
        <f>'UC3'!C15</f>
        <v>2</v>
      </c>
      <c r="G19" s="35" t="str">
        <f>IF('UC3'!J15="","",'UC3'!J15)</f>
        <v/>
      </c>
      <c r="H19" s="36" t="b">
        <f>'UC3'!K15</f>
        <v>0</v>
      </c>
    </row>
    <row r="20" spans="1:8" x14ac:dyDescent="0.2">
      <c r="A20" s="33" t="str">
        <f>'UC3'!A16&amp;IF('UC3'!K16=TRUE," *","")&amp;IF('UC3'!I16="INSUFFICIENT_HISTORY"," (1 test)","")</f>
        <v>GL-0016 *</v>
      </c>
      <c r="B20" s="34">
        <f>IF('UC3'!H16="","",'UC3'!H16)</f>
        <v>12</v>
      </c>
      <c r="C20" s="35" t="str">
        <f>'UC3'!I16</f>
        <v>RISING</v>
      </c>
      <c r="D20" s="34">
        <f>IF('UC3'!I16="RISING",'UC3'!H16,NA())</f>
        <v>12</v>
      </c>
      <c r="E20" s="34" t="e">
        <f>IF('UC3'!I16="STABLE",'UC3'!H16,NA())</f>
        <v>#N/A</v>
      </c>
      <c r="F20" s="35">
        <f>'UC3'!C16</f>
        <v>2</v>
      </c>
      <c r="G20" s="35">
        <f>IF('UC3'!J16="","",'UC3'!J16)</f>
        <v>1</v>
      </c>
      <c r="H20" s="36" t="b">
        <f>'UC3'!K16</f>
        <v>1</v>
      </c>
    </row>
    <row r="21" spans="1:8" x14ac:dyDescent="0.2">
      <c r="A21" s="37" t="str">
        <f>'UC3'!A17&amp;IF('UC3'!K17=TRUE," *","")&amp;IF('UC3'!I17="INSUFFICIENT_HISTORY"," (1 test)","")</f>
        <v>GL-0017 (1 test)</v>
      </c>
      <c r="B21" s="38" t="str">
        <f>IF('UC3'!H17="","",'UC3'!H17)</f>
        <v/>
      </c>
      <c r="C21" s="15" t="str">
        <f>'UC3'!I17</f>
        <v>INSUFFICIENT_HISTORY</v>
      </c>
      <c r="D21" s="38" t="e">
        <f>IF('UC3'!I17="RISING",'UC3'!H17,NA())</f>
        <v>#N/A</v>
      </c>
      <c r="E21" s="38" t="e">
        <f>IF('UC3'!I17="STABLE",'UC3'!H17,NA())</f>
        <v>#N/A</v>
      </c>
      <c r="F21" s="15">
        <f>'UC3'!C17</f>
        <v>1</v>
      </c>
      <c r="G21" s="15">
        <f>IF('UC3'!J17="","",'UC3'!J17)</f>
        <v>0.91700000000000004</v>
      </c>
      <c r="H21" s="39" t="b">
        <f>'UC3'!K17</f>
        <v>0</v>
      </c>
    </row>
    <row r="22" spans="1:8" x14ac:dyDescent="0.2">
      <c r="A22" s="40" t="s">
        <v>159</v>
      </c>
      <c r="B22" s="40"/>
      <c r="C22" s="40"/>
      <c r="D22" s="40"/>
      <c r="E22" s="40"/>
      <c r="F22" s="40"/>
      <c r="G22" s="40"/>
      <c r="H22" s="40"/>
    </row>
  </sheetData>
  <mergeCells count="4">
    <mergeCell ref="A1:I1"/>
    <mergeCell ref="A2:I2"/>
    <mergeCell ref="A3:I3"/>
    <mergeCell ref="A22:H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6B46-37E2-834C-9EF2-57F95F4F90C1}">
  <dimension ref="A1:L26"/>
  <sheetViews>
    <sheetView tabSelected="1" workbookViewId="0">
      <selection activeCell="L4" sqref="L4"/>
    </sheetView>
  </sheetViews>
  <sheetFormatPr baseColWidth="10" defaultRowHeight="15" x14ac:dyDescent="0.2"/>
  <cols>
    <col min="1" max="1" width="23.33203125" bestFit="1" customWidth="1"/>
    <col min="2" max="2" width="11.5" bestFit="1" customWidth="1"/>
    <col min="3" max="3" width="23.33203125" bestFit="1" customWidth="1"/>
  </cols>
  <sheetData>
    <row r="1" spans="1:12" ht="21" x14ac:dyDescent="0.25">
      <c r="A1" s="42" t="s">
        <v>160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x14ac:dyDescent="0.2">
      <c r="A2" s="22" t="s">
        <v>153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">
      <c r="A3" s="41" t="s">
        <v>161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5" spans="1:12" x14ac:dyDescent="0.2">
      <c r="A5" s="29" t="s">
        <v>69</v>
      </c>
      <c r="B5" s="32" t="s">
        <v>162</v>
      </c>
    </row>
    <row r="6" spans="1:12" x14ac:dyDescent="0.2">
      <c r="A6" s="33" t="s">
        <v>122</v>
      </c>
      <c r="B6" s="36">
        <f>COUNTIF('UC4'!C:C,A6)</f>
        <v>1</v>
      </c>
    </row>
    <row r="7" spans="1:12" x14ac:dyDescent="0.2">
      <c r="A7" s="37" t="s">
        <v>124</v>
      </c>
      <c r="B7" s="39">
        <f>COUNTIF('UC4'!C:C,A7)</f>
        <v>1</v>
      </c>
    </row>
    <row r="8" spans="1:12" x14ac:dyDescent="0.2">
      <c r="A8" s="13" t="s">
        <v>150</v>
      </c>
      <c r="B8">
        <f>SUM(B6:B7)</f>
        <v>2</v>
      </c>
    </row>
    <row r="24" spans="1:10" x14ac:dyDescent="0.2">
      <c r="A24" s="29" t="s">
        <v>45</v>
      </c>
      <c r="B24" s="31" t="s">
        <v>46</v>
      </c>
      <c r="C24" s="31" t="s">
        <v>69</v>
      </c>
      <c r="D24" s="31" t="s">
        <v>71</v>
      </c>
      <c r="E24" s="43" t="s">
        <v>70</v>
      </c>
      <c r="F24" s="43"/>
      <c r="G24" s="43"/>
      <c r="H24" s="43"/>
      <c r="I24" s="43"/>
      <c r="J24" s="44"/>
    </row>
    <row r="25" spans="1:10" x14ac:dyDescent="0.2">
      <c r="A25" s="33" t="str">
        <f>IF('UC4'!A2="","",'UC4'!A2)</f>
        <v>GL-0004</v>
      </c>
      <c r="B25" s="35" t="str">
        <f>IF('UC4'!B2="","",'UC4'!B2)</f>
        <v>Olivia Brown</v>
      </c>
      <c r="C25" s="35" t="str">
        <f>IF('UC4'!C2="","",'UC4'!C2)</f>
        <v>RESULT_NOT_RETURNED</v>
      </c>
      <c r="D25" s="45">
        <f>IF('UC4'!E2="","",'UC4'!E2)</f>
        <v>46087</v>
      </c>
      <c r="E25" s="46" t="str">
        <f>IF('UC4'!D2="","",'UC4'!D2)</f>
        <v>Result OBS-0010 reported 2026-06-03 has no delivery record to a clinic</v>
      </c>
      <c r="F25" s="46"/>
      <c r="G25" s="46"/>
      <c r="H25" s="46"/>
      <c r="I25" s="46"/>
      <c r="J25" s="47"/>
    </row>
    <row r="26" spans="1:10" x14ac:dyDescent="0.2">
      <c r="A26" s="37" t="str">
        <f>IF('UC4'!A3="","",'UC4'!A3)</f>
        <v>GL-0005</v>
      </c>
      <c r="B26" s="15" t="str">
        <f>IF('UC4'!B3="","",'UC4'!B3)</f>
        <v>James Wilson</v>
      </c>
      <c r="C26" s="15" t="str">
        <f>IF('UC4'!C3="","",'UC4'!C3)</f>
        <v>MULTI_PHARMACY_OVERLAP</v>
      </c>
      <c r="D26" s="48">
        <f>IF('UC4'!E3="","",'UC4'!E3)</f>
        <v>46132</v>
      </c>
      <c r="E26" s="49" t="str">
        <f>IF('UC4'!D3="","",'UC4'!D3)</f>
        <v>biguanide supplied by pharmacies 1 and 2 with overlapping supply from 2026-04-20</v>
      </c>
      <c r="F26" s="49"/>
      <c r="G26" s="49"/>
      <c r="H26" s="49"/>
      <c r="I26" s="49"/>
      <c r="J26" s="50"/>
    </row>
  </sheetData>
  <mergeCells count="6">
    <mergeCell ref="E25:J25"/>
    <mergeCell ref="E26:J26"/>
    <mergeCell ref="A3:L3"/>
    <mergeCell ref="A2:L2"/>
    <mergeCell ref="A1:L1"/>
    <mergeCell ref="E24:J2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showGridLines="0" workbookViewId="0">
      <pane ySplit="1" topLeftCell="A2" activePane="bottomLeft" state="frozen"/>
      <selection pane="bottomLeft" activeCell="D42" sqref="D42"/>
    </sheetView>
  </sheetViews>
  <sheetFormatPr baseColWidth="10" defaultColWidth="8.83203125" defaultRowHeight="15" x14ac:dyDescent="0.2"/>
  <cols>
    <col min="1" max="8" width="28" customWidth="1"/>
  </cols>
  <sheetData>
    <row r="1" spans="1:8" ht="34" customHeight="1" x14ac:dyDescent="0.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2">
      <c r="A2" s="3" t="s">
        <v>73</v>
      </c>
      <c r="B2" s="3" t="s">
        <v>74</v>
      </c>
      <c r="C2" s="3" t="s">
        <v>100</v>
      </c>
      <c r="D2" s="4">
        <v>46162</v>
      </c>
      <c r="E2" s="3">
        <v>62</v>
      </c>
      <c r="F2" s="3" t="s">
        <v>101</v>
      </c>
      <c r="G2" s="3" t="s">
        <v>102</v>
      </c>
      <c r="H2" s="4">
        <v>46266</v>
      </c>
    </row>
    <row r="3" spans="1:8" x14ac:dyDescent="0.2">
      <c r="A3" s="3" t="s">
        <v>77</v>
      </c>
      <c r="B3" s="3" t="s">
        <v>78</v>
      </c>
      <c r="C3" s="3" t="s">
        <v>100</v>
      </c>
      <c r="D3" s="4">
        <v>46204</v>
      </c>
      <c r="E3" s="3">
        <v>58</v>
      </c>
      <c r="F3" s="3" t="s">
        <v>101</v>
      </c>
      <c r="G3" s="3" t="s">
        <v>103</v>
      </c>
      <c r="H3" s="4">
        <v>46266</v>
      </c>
    </row>
    <row r="4" spans="1:8" x14ac:dyDescent="0.2">
      <c r="A4" s="3" t="s">
        <v>80</v>
      </c>
      <c r="B4" s="3" t="s">
        <v>81</v>
      </c>
      <c r="C4" s="3" t="s">
        <v>104</v>
      </c>
      <c r="D4" s="4">
        <v>45992</v>
      </c>
      <c r="E4" s="3">
        <v>51</v>
      </c>
      <c r="F4" s="3" t="s">
        <v>101</v>
      </c>
      <c r="G4" s="3" t="s">
        <v>105</v>
      </c>
      <c r="H4" s="4">
        <v>46266</v>
      </c>
    </row>
    <row r="5" spans="1:8" x14ac:dyDescent="0.2">
      <c r="A5" s="3" t="s">
        <v>106</v>
      </c>
      <c r="B5" s="3" t="s">
        <v>85</v>
      </c>
      <c r="C5" s="3" t="s">
        <v>100</v>
      </c>
      <c r="D5" s="3" t="s">
        <v>101</v>
      </c>
      <c r="E5" s="3" t="s">
        <v>101</v>
      </c>
      <c r="F5" s="3" t="s">
        <v>101</v>
      </c>
      <c r="G5" s="3" t="s">
        <v>107</v>
      </c>
      <c r="H5" s="4">
        <v>46266</v>
      </c>
    </row>
    <row r="6" spans="1:8" x14ac:dyDescent="0.2">
      <c r="A6" s="3" t="s">
        <v>91</v>
      </c>
      <c r="B6" s="3" t="s">
        <v>92</v>
      </c>
      <c r="C6" s="3" t="s">
        <v>104</v>
      </c>
      <c r="D6" s="4">
        <v>46054</v>
      </c>
      <c r="E6" s="3">
        <v>52</v>
      </c>
      <c r="F6" s="3" t="s">
        <v>101</v>
      </c>
      <c r="G6" s="3" t="s">
        <v>105</v>
      </c>
      <c r="H6" s="4">
        <v>46266</v>
      </c>
    </row>
    <row r="7" spans="1:8" x14ac:dyDescent="0.2">
      <c r="A7" s="3" t="s">
        <v>93</v>
      </c>
      <c r="B7" s="3" t="s">
        <v>94</v>
      </c>
      <c r="C7" s="3" t="s">
        <v>100</v>
      </c>
      <c r="D7" s="4">
        <v>46152</v>
      </c>
      <c r="E7" s="3">
        <v>57</v>
      </c>
      <c r="F7" s="3" t="s">
        <v>101</v>
      </c>
      <c r="G7" s="3" t="s">
        <v>102</v>
      </c>
      <c r="H7" s="4">
        <v>46266</v>
      </c>
    </row>
    <row r="8" spans="1:8" x14ac:dyDescent="0.2">
      <c r="A8" s="3" t="s">
        <v>108</v>
      </c>
      <c r="B8" s="3" t="s">
        <v>109</v>
      </c>
      <c r="C8" s="3" t="s">
        <v>110</v>
      </c>
      <c r="D8" s="4">
        <v>46244</v>
      </c>
      <c r="E8" s="3">
        <v>58</v>
      </c>
      <c r="F8" s="3" t="s">
        <v>101</v>
      </c>
      <c r="G8" s="3" t="s">
        <v>103</v>
      </c>
      <c r="H8" s="4">
        <v>46266</v>
      </c>
    </row>
    <row r="9" spans="1:8" x14ac:dyDescent="0.2">
      <c r="A9" s="3" t="s">
        <v>95</v>
      </c>
      <c r="B9" s="3" t="s">
        <v>96</v>
      </c>
      <c r="C9" s="3" t="s">
        <v>104</v>
      </c>
      <c r="D9" s="4">
        <v>46178</v>
      </c>
      <c r="E9" s="3">
        <v>65</v>
      </c>
      <c r="F9" s="3" t="s">
        <v>101</v>
      </c>
      <c r="G9" s="3" t="s">
        <v>103</v>
      </c>
      <c r="H9" s="4">
        <v>46266</v>
      </c>
    </row>
  </sheetData>
  <autoFilter ref="A1:H1" xr:uid="{00000000-0009-0000-0000-000003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showGridLines="0" topLeftCell="B1" workbookViewId="0">
      <pane ySplit="1" topLeftCell="A2" activePane="bottomLeft" state="frozen"/>
      <selection pane="bottomLeft" activeCell="A14" sqref="A14:F17"/>
    </sheetView>
  </sheetViews>
  <sheetFormatPr baseColWidth="10" defaultColWidth="8.83203125" defaultRowHeight="15" x14ac:dyDescent="0.2"/>
  <cols>
    <col min="1" max="11" width="28" customWidth="1"/>
  </cols>
  <sheetData>
    <row r="1" spans="1:11" ht="34" customHeight="1" x14ac:dyDescent="0.2">
      <c r="A1" s="1" t="s">
        <v>45</v>
      </c>
      <c r="B1" s="1" t="s">
        <v>46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52</v>
      </c>
    </row>
    <row r="2" spans="1:11" x14ac:dyDescent="0.2">
      <c r="A2" s="3" t="s">
        <v>73</v>
      </c>
      <c r="B2" s="3" t="s">
        <v>74</v>
      </c>
      <c r="C2" s="3" t="s">
        <v>75</v>
      </c>
      <c r="D2" s="3">
        <v>7</v>
      </c>
      <c r="E2" s="3">
        <v>178</v>
      </c>
      <c r="F2" s="3">
        <v>180</v>
      </c>
      <c r="G2" s="3">
        <v>0.98899999999999999</v>
      </c>
      <c r="H2" s="3" t="s">
        <v>76</v>
      </c>
      <c r="I2" s="4">
        <v>46086</v>
      </c>
      <c r="J2" s="4">
        <v>46265</v>
      </c>
      <c r="K2" s="4">
        <v>46266</v>
      </c>
    </row>
    <row r="3" spans="1:11" x14ac:dyDescent="0.2">
      <c r="A3" s="3" t="s">
        <v>77</v>
      </c>
      <c r="B3" s="3" t="s">
        <v>78</v>
      </c>
      <c r="C3" s="3" t="s">
        <v>75</v>
      </c>
      <c r="D3" s="3">
        <v>3</v>
      </c>
      <c r="E3" s="3">
        <v>60</v>
      </c>
      <c r="F3" s="3">
        <v>180</v>
      </c>
      <c r="G3" s="3">
        <v>0.33300000000000002</v>
      </c>
      <c r="H3" s="3" t="s">
        <v>79</v>
      </c>
      <c r="I3" s="4">
        <v>46086</v>
      </c>
      <c r="J3" s="4">
        <v>46265</v>
      </c>
      <c r="K3" s="4">
        <v>46266</v>
      </c>
    </row>
    <row r="4" spans="1:11" x14ac:dyDescent="0.2">
      <c r="A4" s="3" t="s">
        <v>80</v>
      </c>
      <c r="B4" s="3" t="s">
        <v>81</v>
      </c>
      <c r="C4" s="3" t="s">
        <v>75</v>
      </c>
      <c r="D4" s="3">
        <v>6</v>
      </c>
      <c r="E4" s="3">
        <v>176</v>
      </c>
      <c r="F4" s="3">
        <v>180</v>
      </c>
      <c r="G4" s="3">
        <v>0.97799999999999998</v>
      </c>
      <c r="H4" s="3" t="s">
        <v>76</v>
      </c>
      <c r="I4" s="4">
        <v>46086</v>
      </c>
      <c r="J4" s="4">
        <v>46265</v>
      </c>
      <c r="K4" s="4">
        <v>46266</v>
      </c>
    </row>
    <row r="5" spans="1:11" x14ac:dyDescent="0.2">
      <c r="A5" s="3" t="s">
        <v>82</v>
      </c>
      <c r="B5" s="3" t="s">
        <v>83</v>
      </c>
      <c r="C5" s="3" t="s">
        <v>75</v>
      </c>
      <c r="D5" s="3">
        <v>8</v>
      </c>
      <c r="E5" s="3">
        <v>175</v>
      </c>
      <c r="F5" s="3">
        <v>180</v>
      </c>
      <c r="G5" s="3">
        <v>0.97199999999999998</v>
      </c>
      <c r="H5" s="3" t="s">
        <v>76</v>
      </c>
      <c r="I5" s="4">
        <v>46086</v>
      </c>
      <c r="J5" s="4">
        <v>46265</v>
      </c>
      <c r="K5" s="4">
        <v>46266</v>
      </c>
    </row>
    <row r="6" spans="1:11" x14ac:dyDescent="0.2">
      <c r="A6" s="3" t="s">
        <v>84</v>
      </c>
      <c r="B6" s="3" t="s">
        <v>85</v>
      </c>
      <c r="C6" s="3" t="s">
        <v>86</v>
      </c>
      <c r="D6" s="3">
        <v>6</v>
      </c>
      <c r="E6" s="3">
        <v>180</v>
      </c>
      <c r="F6" s="3">
        <v>180</v>
      </c>
      <c r="G6" s="3">
        <v>1</v>
      </c>
      <c r="H6" s="3" t="s">
        <v>76</v>
      </c>
      <c r="I6" s="4">
        <v>46086</v>
      </c>
      <c r="J6" s="4">
        <v>46265</v>
      </c>
      <c r="K6" s="4">
        <v>46266</v>
      </c>
    </row>
    <row r="7" spans="1:11" x14ac:dyDescent="0.2">
      <c r="A7" s="3" t="s">
        <v>87</v>
      </c>
      <c r="B7" s="3" t="s">
        <v>88</v>
      </c>
      <c r="C7" s="3" t="s">
        <v>75</v>
      </c>
      <c r="D7" s="3">
        <v>6</v>
      </c>
      <c r="E7" s="3">
        <v>176</v>
      </c>
      <c r="F7" s="3">
        <v>180</v>
      </c>
      <c r="G7" s="3">
        <v>0.97799999999999998</v>
      </c>
      <c r="H7" s="3" t="s">
        <v>76</v>
      </c>
      <c r="I7" s="4">
        <v>46086</v>
      </c>
      <c r="J7" s="4">
        <v>46265</v>
      </c>
      <c r="K7" s="4">
        <v>46266</v>
      </c>
    </row>
    <row r="8" spans="1:11" x14ac:dyDescent="0.2">
      <c r="A8" s="3" t="s">
        <v>89</v>
      </c>
      <c r="B8" s="3" t="s">
        <v>90</v>
      </c>
      <c r="C8" s="3" t="s">
        <v>75</v>
      </c>
      <c r="D8" s="3">
        <v>7</v>
      </c>
      <c r="E8" s="3">
        <v>180</v>
      </c>
      <c r="F8" s="3">
        <v>180</v>
      </c>
      <c r="G8" s="3">
        <v>1</v>
      </c>
      <c r="H8" s="3" t="s">
        <v>76</v>
      </c>
      <c r="I8" s="4">
        <v>46086</v>
      </c>
      <c r="J8" s="4">
        <v>46265</v>
      </c>
      <c r="K8" s="4">
        <v>46266</v>
      </c>
    </row>
    <row r="9" spans="1:11" x14ac:dyDescent="0.2">
      <c r="A9" s="3" t="s">
        <v>91</v>
      </c>
      <c r="B9" s="3" t="s">
        <v>92</v>
      </c>
      <c r="C9" s="3" t="s">
        <v>75</v>
      </c>
      <c r="D9" s="3">
        <v>3</v>
      </c>
      <c r="E9" s="3">
        <v>90</v>
      </c>
      <c r="F9" s="3">
        <v>180</v>
      </c>
      <c r="G9" s="3">
        <v>0.5</v>
      </c>
      <c r="H9" s="3" t="s">
        <v>79</v>
      </c>
      <c r="I9" s="4">
        <v>46086</v>
      </c>
      <c r="J9" s="4">
        <v>46265</v>
      </c>
      <c r="K9" s="4">
        <v>46266</v>
      </c>
    </row>
    <row r="10" spans="1:11" x14ac:dyDescent="0.2">
      <c r="A10" s="3" t="s">
        <v>93</v>
      </c>
      <c r="B10" s="3" t="s">
        <v>94</v>
      </c>
      <c r="C10" s="3" t="s">
        <v>75</v>
      </c>
      <c r="D10" s="3">
        <v>6</v>
      </c>
      <c r="E10" s="3">
        <v>175</v>
      </c>
      <c r="F10" s="3">
        <v>180</v>
      </c>
      <c r="G10" s="3">
        <v>0.97199999999999998</v>
      </c>
      <c r="H10" s="3" t="s">
        <v>76</v>
      </c>
      <c r="I10" s="4">
        <v>46086</v>
      </c>
      <c r="J10" s="4">
        <v>46265</v>
      </c>
      <c r="K10" s="4">
        <v>46266</v>
      </c>
    </row>
    <row r="11" spans="1:11" x14ac:dyDescent="0.2">
      <c r="A11" s="3" t="s">
        <v>95</v>
      </c>
      <c r="B11" s="3" t="s">
        <v>96</v>
      </c>
      <c r="C11" s="3" t="s">
        <v>97</v>
      </c>
      <c r="D11" s="3">
        <v>7</v>
      </c>
      <c r="E11" s="3">
        <v>180</v>
      </c>
      <c r="F11" s="3">
        <v>180</v>
      </c>
      <c r="G11" s="3">
        <v>1</v>
      </c>
      <c r="H11" s="3" t="s">
        <v>76</v>
      </c>
      <c r="I11" s="4">
        <v>46086</v>
      </c>
      <c r="J11" s="4">
        <v>46265</v>
      </c>
      <c r="K11" s="4">
        <v>46266</v>
      </c>
    </row>
    <row r="12" spans="1:11" x14ac:dyDescent="0.2">
      <c r="A12" s="3" t="s">
        <v>98</v>
      </c>
      <c r="B12" s="3" t="s">
        <v>99</v>
      </c>
      <c r="C12" s="3" t="s">
        <v>75</v>
      </c>
      <c r="D12" s="3">
        <v>6</v>
      </c>
      <c r="E12" s="3">
        <v>165</v>
      </c>
      <c r="F12" s="3">
        <v>180</v>
      </c>
      <c r="G12" s="3">
        <v>0.91700000000000004</v>
      </c>
      <c r="H12" s="3" t="s">
        <v>76</v>
      </c>
      <c r="I12" s="4">
        <v>46086</v>
      </c>
      <c r="J12" s="4">
        <v>46265</v>
      </c>
      <c r="K12" s="4">
        <v>46266</v>
      </c>
    </row>
  </sheetData>
  <autoFilter ref="A1:K1" xr:uid="{00000000-0009-0000-0000-000004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showGridLines="0" workbookViewId="0">
      <pane ySplit="1" topLeftCell="A2" activePane="bottomLeft" state="frozen"/>
      <selection pane="bottomLeft" activeCell="C39" sqref="C39"/>
    </sheetView>
  </sheetViews>
  <sheetFormatPr baseColWidth="10" defaultColWidth="8.83203125" defaultRowHeight="15" x14ac:dyDescent="0.2"/>
  <cols>
    <col min="1" max="12" width="28" customWidth="1"/>
  </cols>
  <sheetData>
    <row r="1" spans="1:12" ht="34" customHeight="1" x14ac:dyDescent="0.2">
      <c r="A1" s="1" t="s">
        <v>45</v>
      </c>
      <c r="B1" s="1" t="s">
        <v>46</v>
      </c>
      <c r="C1" s="1" t="s">
        <v>61</v>
      </c>
      <c r="D1" s="1" t="s">
        <v>62</v>
      </c>
      <c r="E1" s="1" t="s">
        <v>63</v>
      </c>
      <c r="F1" s="1" t="s">
        <v>48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52</v>
      </c>
    </row>
    <row r="2" spans="1:12" x14ac:dyDescent="0.2">
      <c r="A2" s="3" t="s">
        <v>73</v>
      </c>
      <c r="B2" s="3" t="s">
        <v>74</v>
      </c>
      <c r="C2" s="3">
        <v>3</v>
      </c>
      <c r="D2" s="4">
        <v>45940</v>
      </c>
      <c r="E2" s="3">
        <v>50</v>
      </c>
      <c r="F2" s="4">
        <v>46162</v>
      </c>
      <c r="G2" s="3">
        <v>62</v>
      </c>
      <c r="H2" s="3">
        <v>12</v>
      </c>
      <c r="I2" s="3" t="s">
        <v>111</v>
      </c>
      <c r="J2" s="3">
        <v>0.98899999999999999</v>
      </c>
      <c r="K2" s="3" t="b">
        <v>1</v>
      </c>
      <c r="L2" s="4">
        <v>46266</v>
      </c>
    </row>
    <row r="3" spans="1:12" x14ac:dyDescent="0.2">
      <c r="A3" s="3" t="s">
        <v>77</v>
      </c>
      <c r="B3" s="3" t="s">
        <v>78</v>
      </c>
      <c r="C3" s="3">
        <v>3</v>
      </c>
      <c r="D3" s="4">
        <v>45981</v>
      </c>
      <c r="E3" s="3">
        <v>58</v>
      </c>
      <c r="F3" s="4">
        <v>46204</v>
      </c>
      <c r="G3" s="3">
        <v>58</v>
      </c>
      <c r="H3" s="3">
        <v>0</v>
      </c>
      <c r="I3" s="3" t="s">
        <v>112</v>
      </c>
      <c r="J3" s="3">
        <v>0.33300000000000002</v>
      </c>
      <c r="K3" s="3" t="b">
        <v>0</v>
      </c>
      <c r="L3" s="4">
        <v>46266</v>
      </c>
    </row>
    <row r="4" spans="1:12" x14ac:dyDescent="0.2">
      <c r="A4" s="3" t="s">
        <v>80</v>
      </c>
      <c r="B4" s="3" t="s">
        <v>81</v>
      </c>
      <c r="C4" s="3">
        <v>1</v>
      </c>
      <c r="D4" s="4">
        <v>45992</v>
      </c>
      <c r="E4" s="3">
        <v>51</v>
      </c>
      <c r="F4" s="4">
        <v>45992</v>
      </c>
      <c r="G4" s="3">
        <v>51</v>
      </c>
      <c r="H4" s="3" t="s">
        <v>101</v>
      </c>
      <c r="I4" s="3" t="s">
        <v>113</v>
      </c>
      <c r="J4" s="3">
        <v>0.97799999999999998</v>
      </c>
      <c r="K4" s="3" t="b">
        <v>0</v>
      </c>
      <c r="L4" s="4">
        <v>46266</v>
      </c>
    </row>
    <row r="5" spans="1:12" x14ac:dyDescent="0.2">
      <c r="A5" s="3" t="s">
        <v>114</v>
      </c>
      <c r="B5" s="3" t="s">
        <v>115</v>
      </c>
      <c r="C5" s="3">
        <v>2</v>
      </c>
      <c r="D5" s="4">
        <v>45993</v>
      </c>
      <c r="E5" s="3">
        <v>47</v>
      </c>
      <c r="F5" s="4">
        <v>46175</v>
      </c>
      <c r="G5" s="3">
        <v>48</v>
      </c>
      <c r="H5" s="3">
        <v>1</v>
      </c>
      <c r="I5" s="3" t="s">
        <v>112</v>
      </c>
      <c r="J5" s="3" t="s">
        <v>101</v>
      </c>
      <c r="K5" s="3" t="b">
        <v>0</v>
      </c>
      <c r="L5" s="4">
        <v>46266</v>
      </c>
    </row>
    <row r="6" spans="1:12" x14ac:dyDescent="0.2">
      <c r="A6" s="3" t="s">
        <v>82</v>
      </c>
      <c r="B6" s="3" t="s">
        <v>83</v>
      </c>
      <c r="C6" s="3">
        <v>2</v>
      </c>
      <c r="D6" s="4">
        <v>46027</v>
      </c>
      <c r="E6" s="3">
        <v>50.8</v>
      </c>
      <c r="F6" s="4">
        <v>46147</v>
      </c>
      <c r="G6" s="3">
        <v>51.9</v>
      </c>
      <c r="H6" s="3">
        <v>1.1000000000000001</v>
      </c>
      <c r="I6" s="3" t="s">
        <v>112</v>
      </c>
      <c r="J6" s="3">
        <v>0.97199999999999998</v>
      </c>
      <c r="K6" s="3" t="b">
        <v>0</v>
      </c>
      <c r="L6" s="4">
        <v>46266</v>
      </c>
    </row>
    <row r="7" spans="1:12" x14ac:dyDescent="0.2">
      <c r="A7" s="3" t="s">
        <v>84</v>
      </c>
      <c r="B7" s="3" t="s">
        <v>85</v>
      </c>
      <c r="C7" s="3">
        <v>1</v>
      </c>
      <c r="D7" s="4">
        <v>46157</v>
      </c>
      <c r="E7" s="3">
        <v>47.5</v>
      </c>
      <c r="F7" s="4">
        <v>46157</v>
      </c>
      <c r="G7" s="3">
        <v>47.5</v>
      </c>
      <c r="H7" s="3" t="s">
        <v>101</v>
      </c>
      <c r="I7" s="3" t="s">
        <v>113</v>
      </c>
      <c r="J7" s="3">
        <v>1</v>
      </c>
      <c r="K7" s="3" t="b">
        <v>0</v>
      </c>
      <c r="L7" s="4">
        <v>46266</v>
      </c>
    </row>
    <row r="8" spans="1:12" x14ac:dyDescent="0.2">
      <c r="A8" s="3" t="s">
        <v>87</v>
      </c>
      <c r="B8" s="3" t="s">
        <v>88</v>
      </c>
      <c r="C8" s="3">
        <v>2</v>
      </c>
      <c r="D8" s="4">
        <v>46042</v>
      </c>
      <c r="E8" s="3">
        <v>51</v>
      </c>
      <c r="F8" s="4">
        <v>46198</v>
      </c>
      <c r="G8" s="3">
        <v>50</v>
      </c>
      <c r="H8" s="3">
        <v>-1</v>
      </c>
      <c r="I8" s="3" t="s">
        <v>112</v>
      </c>
      <c r="J8" s="3">
        <v>0.97799999999999998</v>
      </c>
      <c r="K8" s="3" t="b">
        <v>0</v>
      </c>
      <c r="L8" s="4">
        <v>46266</v>
      </c>
    </row>
    <row r="9" spans="1:12" x14ac:dyDescent="0.2">
      <c r="A9" s="3" t="s">
        <v>89</v>
      </c>
      <c r="B9" s="3" t="s">
        <v>90</v>
      </c>
      <c r="C9" s="3">
        <v>4</v>
      </c>
      <c r="D9" s="4">
        <v>45928</v>
      </c>
      <c r="E9" s="3">
        <v>49</v>
      </c>
      <c r="F9" s="4">
        <v>46201</v>
      </c>
      <c r="G9" s="3">
        <v>48</v>
      </c>
      <c r="H9" s="3">
        <v>-1</v>
      </c>
      <c r="I9" s="3" t="s">
        <v>112</v>
      </c>
      <c r="J9" s="3">
        <v>1</v>
      </c>
      <c r="K9" s="3" t="b">
        <v>0</v>
      </c>
      <c r="L9" s="4">
        <v>46266</v>
      </c>
    </row>
    <row r="10" spans="1:12" x14ac:dyDescent="0.2">
      <c r="A10" s="3" t="s">
        <v>91</v>
      </c>
      <c r="B10" s="3" t="s">
        <v>92</v>
      </c>
      <c r="C10" s="3">
        <v>1</v>
      </c>
      <c r="D10" s="4">
        <v>46054</v>
      </c>
      <c r="E10" s="3">
        <v>52</v>
      </c>
      <c r="F10" s="4">
        <v>46054</v>
      </c>
      <c r="G10" s="3">
        <v>52</v>
      </c>
      <c r="H10" s="3" t="s">
        <v>101</v>
      </c>
      <c r="I10" s="3" t="s">
        <v>113</v>
      </c>
      <c r="J10" s="3">
        <v>0.5</v>
      </c>
      <c r="K10" s="3" t="b">
        <v>0</v>
      </c>
      <c r="L10" s="4">
        <v>46266</v>
      </c>
    </row>
    <row r="11" spans="1:12" x14ac:dyDescent="0.2">
      <c r="A11" s="3" t="s">
        <v>116</v>
      </c>
      <c r="B11" s="3" t="s">
        <v>117</v>
      </c>
      <c r="C11" s="3">
        <v>2</v>
      </c>
      <c r="D11" s="4">
        <v>46096</v>
      </c>
      <c r="E11" s="3">
        <v>54</v>
      </c>
      <c r="F11" s="4">
        <v>46193</v>
      </c>
      <c r="G11" s="3">
        <v>50</v>
      </c>
      <c r="H11" s="3">
        <v>-4</v>
      </c>
      <c r="I11" s="3" t="s">
        <v>112</v>
      </c>
      <c r="J11" s="3" t="s">
        <v>101</v>
      </c>
      <c r="K11" s="3" t="b">
        <v>0</v>
      </c>
      <c r="L11" s="4">
        <v>46266</v>
      </c>
    </row>
    <row r="12" spans="1:12" x14ac:dyDescent="0.2">
      <c r="A12" s="3" t="s">
        <v>93</v>
      </c>
      <c r="B12" s="3" t="s">
        <v>94</v>
      </c>
      <c r="C12" s="3">
        <v>1</v>
      </c>
      <c r="D12" s="4">
        <v>46152</v>
      </c>
      <c r="E12" s="3">
        <v>57</v>
      </c>
      <c r="F12" s="4">
        <v>46152</v>
      </c>
      <c r="G12" s="3">
        <v>57</v>
      </c>
      <c r="H12" s="3" t="s">
        <v>101</v>
      </c>
      <c r="I12" s="3" t="s">
        <v>113</v>
      </c>
      <c r="J12" s="3">
        <v>0.97199999999999998</v>
      </c>
      <c r="K12" s="3" t="b">
        <v>0</v>
      </c>
      <c r="L12" s="4">
        <v>46266</v>
      </c>
    </row>
    <row r="13" spans="1:12" x14ac:dyDescent="0.2">
      <c r="A13" s="3" t="s">
        <v>118</v>
      </c>
      <c r="B13" s="3" t="s">
        <v>119</v>
      </c>
      <c r="C13" s="3">
        <v>2</v>
      </c>
      <c r="D13" s="4">
        <v>45971</v>
      </c>
      <c r="E13" s="3">
        <v>55</v>
      </c>
      <c r="F13" s="4">
        <v>46122</v>
      </c>
      <c r="G13" s="3">
        <v>60</v>
      </c>
      <c r="H13" s="3">
        <v>5</v>
      </c>
      <c r="I13" s="3" t="s">
        <v>111</v>
      </c>
      <c r="J13" s="3" t="s">
        <v>101</v>
      </c>
      <c r="K13" s="3" t="b">
        <v>0</v>
      </c>
      <c r="L13" s="4">
        <v>46266</v>
      </c>
    </row>
    <row r="14" spans="1:12" x14ac:dyDescent="0.2">
      <c r="A14" s="3" t="s">
        <v>108</v>
      </c>
      <c r="B14" s="3" t="s">
        <v>109</v>
      </c>
      <c r="C14" s="3">
        <v>2</v>
      </c>
      <c r="D14" s="4">
        <v>46063</v>
      </c>
      <c r="E14" s="3">
        <v>52</v>
      </c>
      <c r="F14" s="4">
        <v>46244</v>
      </c>
      <c r="G14" s="3">
        <v>58</v>
      </c>
      <c r="H14" s="3">
        <v>6</v>
      </c>
      <c r="I14" s="3" t="s">
        <v>111</v>
      </c>
      <c r="J14" s="3" t="s">
        <v>101</v>
      </c>
      <c r="K14" s="3" t="b">
        <v>0</v>
      </c>
      <c r="L14" s="4">
        <v>46266</v>
      </c>
    </row>
    <row r="15" spans="1:12" x14ac:dyDescent="0.2">
      <c r="A15" s="3" t="s">
        <v>120</v>
      </c>
      <c r="B15" s="3" t="s">
        <v>121</v>
      </c>
      <c r="C15" s="3">
        <v>2</v>
      </c>
      <c r="D15" s="4">
        <v>46113</v>
      </c>
      <c r="E15" s="3">
        <v>51</v>
      </c>
      <c r="F15" s="4">
        <v>46204</v>
      </c>
      <c r="G15" s="3">
        <v>50</v>
      </c>
      <c r="H15" s="3">
        <v>-1</v>
      </c>
      <c r="I15" s="3" t="s">
        <v>112</v>
      </c>
      <c r="J15" s="3" t="s">
        <v>101</v>
      </c>
      <c r="K15" s="3" t="b">
        <v>0</v>
      </c>
      <c r="L15" s="4">
        <v>46266</v>
      </c>
    </row>
    <row r="16" spans="1:12" x14ac:dyDescent="0.2">
      <c r="A16" s="3" t="s">
        <v>95</v>
      </c>
      <c r="B16" s="3" t="s">
        <v>96</v>
      </c>
      <c r="C16" s="3">
        <v>2</v>
      </c>
      <c r="D16" s="4">
        <v>45966</v>
      </c>
      <c r="E16" s="3">
        <v>53</v>
      </c>
      <c r="F16" s="4">
        <v>46178</v>
      </c>
      <c r="G16" s="3">
        <v>65</v>
      </c>
      <c r="H16" s="3">
        <v>12</v>
      </c>
      <c r="I16" s="3" t="s">
        <v>111</v>
      </c>
      <c r="J16" s="3">
        <v>1</v>
      </c>
      <c r="K16" s="3" t="b">
        <v>1</v>
      </c>
      <c r="L16" s="4">
        <v>46266</v>
      </c>
    </row>
    <row r="17" spans="1:12" x14ac:dyDescent="0.2">
      <c r="A17" s="3" t="s">
        <v>98</v>
      </c>
      <c r="B17" s="3" t="s">
        <v>99</v>
      </c>
      <c r="C17" s="3">
        <v>1</v>
      </c>
      <c r="D17" s="4">
        <v>46137</v>
      </c>
      <c r="E17" s="3">
        <v>49</v>
      </c>
      <c r="F17" s="4">
        <v>46137</v>
      </c>
      <c r="G17" s="3">
        <v>49</v>
      </c>
      <c r="H17" s="3" t="s">
        <v>101</v>
      </c>
      <c r="I17" s="3" t="s">
        <v>113</v>
      </c>
      <c r="J17" s="3">
        <v>0.91700000000000004</v>
      </c>
      <c r="K17" s="3" t="b">
        <v>0</v>
      </c>
      <c r="L17" s="4">
        <v>46266</v>
      </c>
    </row>
  </sheetData>
  <autoFilter ref="A1:L1" xr:uid="{00000000-0009-0000-0000-000005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showGridLines="0" workbookViewId="0">
      <pane ySplit="1" topLeftCell="A2" activePane="bottomLeft" state="frozen"/>
      <selection pane="bottomLeft" activeCell="H28" sqref="H28"/>
    </sheetView>
  </sheetViews>
  <sheetFormatPr baseColWidth="10" defaultColWidth="8.83203125" defaultRowHeight="15" x14ac:dyDescent="0.2"/>
  <cols>
    <col min="1" max="4" width="28" customWidth="1"/>
    <col min="5" max="5" width="28" style="8" customWidth="1"/>
  </cols>
  <sheetData>
    <row r="1" spans="1:5" ht="34" customHeight="1" x14ac:dyDescent="0.2">
      <c r="A1" s="1" t="s">
        <v>45</v>
      </c>
      <c r="B1" s="1" t="s">
        <v>46</v>
      </c>
      <c r="C1" s="1" t="s">
        <v>69</v>
      </c>
      <c r="D1" s="1" t="s">
        <v>70</v>
      </c>
      <c r="E1" s="7" t="s">
        <v>71</v>
      </c>
    </row>
    <row r="2" spans="1:5" x14ac:dyDescent="0.2">
      <c r="A2" s="5" t="s">
        <v>114</v>
      </c>
      <c r="B2" s="5" t="s">
        <v>115</v>
      </c>
      <c r="C2" s="5" t="s">
        <v>122</v>
      </c>
      <c r="D2" s="5" t="s">
        <v>123</v>
      </c>
      <c r="E2" s="6">
        <v>46087</v>
      </c>
    </row>
    <row r="3" spans="1:5" x14ac:dyDescent="0.2">
      <c r="A3" s="5" t="s">
        <v>82</v>
      </c>
      <c r="B3" s="5" t="s">
        <v>83</v>
      </c>
      <c r="C3" s="5" t="s">
        <v>124</v>
      </c>
      <c r="D3" s="5" t="s">
        <v>125</v>
      </c>
      <c r="E3" s="6">
        <v>46132</v>
      </c>
    </row>
  </sheetData>
  <autoFilter ref="A1:E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Control</vt:lpstr>
      <vt:lpstr>Checks</vt:lpstr>
      <vt:lpstr>Queries</vt:lpstr>
      <vt:lpstr>UC1 Dashboard</vt:lpstr>
      <vt:lpstr>UC2 Dashboard</vt:lpstr>
      <vt:lpstr>UC3 Dashboard</vt:lpstr>
      <vt:lpstr>UC4 Dashboard</vt:lpstr>
      <vt:lpstr>UC1</vt:lpstr>
      <vt:lpstr>UC2</vt:lpstr>
      <vt:lpstr>UC3</vt:lpstr>
      <vt:lpstr>UC4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Minha Kim</cp:lastModifiedBy>
  <dcterms:created xsi:type="dcterms:W3CDTF">2026-10-07T14:39:18Z</dcterms:created>
  <dcterms:modified xsi:type="dcterms:W3CDTF">2026-10-14T09:11:35Z</dcterms:modified>
</cp:coreProperties>
</file>