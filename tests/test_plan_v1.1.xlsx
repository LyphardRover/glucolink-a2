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hakim/Project/glucolink-a2/tests/"/>
    </mc:Choice>
  </mc:AlternateContent>
  <xr:revisionPtr revIDLastSave="0" documentId="13_ncr:1_{2535782C-44BB-234D-9D92-5E0014C272CF}" xr6:coauthVersionLast="47" xr6:coauthVersionMax="47" xr10:uidLastSave="{00000000-0000-0000-0000-000000000000}"/>
  <bookViews>
    <workbookView xWindow="17280" yWindow="680" windowWidth="17280" windowHeight="19940" activeTab="1" xr2:uid="{38C2F623-CE48-954F-9147-651889642CF7}"/>
  </bookViews>
  <sheets>
    <sheet name="Test Plan v1.1" sheetId="1" r:id="rId1"/>
    <sheet name="Evidence Checklis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<sst xmlns="http://schemas.openxmlformats.org/spreadsheetml/2006/main" count="366" uniqueCount="276">
  <si>
    <t>Test ID</t>
  </si>
  <si>
    <t>Area</t>
  </si>
  <si>
    <t>Test patient</t>
  </si>
  <si>
    <t>Test objective</t>
  </si>
  <si>
    <t>Expected result</t>
  </si>
  <si>
    <t>L01</t>
  </si>
  <si>
    <t>L02</t>
  </si>
  <si>
    <t>L03</t>
  </si>
  <si>
    <t>L04</t>
  </si>
  <si>
    <t>L05</t>
  </si>
  <si>
    <t>L08</t>
  </si>
  <si>
    <t>Q01</t>
  </si>
  <si>
    <t>Q02</t>
  </si>
  <si>
    <t>Q03</t>
  </si>
  <si>
    <t>Q06</t>
  </si>
  <si>
    <t>I01</t>
  </si>
  <si>
    <t>I02</t>
  </si>
  <si>
    <t>I03</t>
  </si>
  <si>
    <t>I04</t>
  </si>
  <si>
    <t>I05</t>
  </si>
  <si>
    <t>I06</t>
  </si>
  <si>
    <t>I09</t>
  </si>
  <si>
    <t>U101</t>
  </si>
  <si>
    <t>U102</t>
  </si>
  <si>
    <t>U201</t>
  </si>
  <si>
    <t>U202</t>
  </si>
  <si>
    <t>U203</t>
  </si>
  <si>
    <t>U301</t>
  </si>
  <si>
    <t>U302</t>
  </si>
  <si>
    <t>U306</t>
  </si>
  <si>
    <t>U401</t>
  </si>
  <si>
    <t>U404</t>
  </si>
  <si>
    <t>R01</t>
  </si>
  <si>
    <t>R02</t>
  </si>
  <si>
    <t>load</t>
  </si>
  <si>
    <t>quality</t>
  </si>
  <si>
    <t>identity</t>
  </si>
  <si>
    <t>UC1</t>
  </si>
  <si>
    <t>UC2</t>
  </si>
  <si>
    <t>UC3</t>
  </si>
  <si>
    <t>UC4</t>
  </si>
  <si>
    <t>rerun</t>
  </si>
  <si>
    <t>-</t>
  </si>
  <si>
    <t>P01-P18</t>
  </si>
  <si>
    <t>P10, P11, P15</t>
  </si>
  <si>
    <t>P17 Zoe Clark</t>
  </si>
  <si>
    <t>P08 Sarah Lee</t>
  </si>
  <si>
    <t>P01 Thomas Smith</t>
  </si>
  <si>
    <t>P02 Mei Chen</t>
  </si>
  <si>
    <t>P06 Daniel Nguyen</t>
  </si>
  <si>
    <t>P16 Jack Thompson</t>
  </si>
  <si>
    <t>P05 James Wilson</t>
  </si>
  <si>
    <t>P15, P09</t>
  </si>
  <si>
    <t>Percent results (LOINC 4548-4) are converted to mmol/mol with (% - 2.15) x 10.929, rounded to 1 decimal</t>
  </si>
  <si>
    <t>cleansed.patient_master is built from GP records only, and Sarah Lee's duplicate GP registration (GP-0008/GP-0009) collapses into one golden patient</t>
  </si>
  <si>
    <t>cleansed.patient_source_link classifies all 48 source records, with the Appendix C status distribution and no record left out</t>
  </si>
  <si>
    <t>reporting.vw_uc1_care_gaps returns one row per flagged patient, with the row count and care_gap_status distribution of business_rules_v1</t>
  </si>
  <si>
    <t>A result &gt;= 53 mmol/mol with no review visit inside the completed 90-day window is flagged HIGH_NO_REVIEW</t>
  </si>
  <si>
    <t>NEGATIVE - a high result followed by a qualifying review visit within 90 days produces no care-gap row</t>
  </si>
  <si>
    <t>reporting.vw_uc2_pdc returns one row per eligible patient and drug class, with the row count and adherence_status distribution of business_rules_v1</t>
  </si>
  <si>
    <t>Fills whose supply ends before the 180-day window (2026-03-05 to 2026-08-31) contribute no covered days to the PDC</t>
  </si>
  <si>
    <t>Overlapping supply days from two pharmacies are counted once (distinct days), so PDC never exceeds 1.000</t>
  </si>
  <si>
    <t>reporting.vw_uc3_hba1c_trend returns one row per golden patient with &gt;= 1 valid result in the 12-month window, with the distribution of business_rules_v1</t>
  </si>
  <si>
    <t>A change of at least +5 mmol/mol is RISING, and rising_despite_adherence is true when best PDC across drug classes &gt;= 0.8</t>
  </si>
  <si>
    <t>NEGATIVE - a DUPLICATE message's missing delivery is not a break, and a patient with all results delivered and one pharmacy is not listed</t>
  </si>
  <si>
    <t>The 02_src_data.sql load is fully reflected in the shared cloud database: all three src_gp tables read back with no missing rows</t>
  </si>
  <si>
    <t>clinic 3; gp_patient 18; encounter 28</t>
  </si>
  <si>
    <t>The 02_src_data.sql and 02b_src_lab_messages.sql loads are fully reflected in the shared cloud database: all four src_lab tables read back with no missing rows</t>
  </si>
  <si>
    <t>laboratory 2; lab_patient 17; observation_message 36; result_delivery 34</t>
  </si>
  <si>
    <t>The 02_src_data.sql load is fully reflected in the shared cloud database: all four src_pharm tables read back with no missing rows</t>
  </si>
  <si>
    <t>pharmacy 3; medication 3; pharmacy_patient 13; dispense 68</t>
  </si>
  <si>
    <t>audit.identity_truth is an evaluation-only answer key: it holds one row per source record and is never read by the standardisation or matching scripts</t>
  </si>
  <si>
    <t>fact_encounter 28; fact_lab_result 32; fact_dispense 65</t>
  </si>
  <si>
    <t>cleansed.patient_record holds exactly one standardised row per source patient record, split by source system as in Appendix C</t>
  </si>
  <si>
    <t>48 rows: GP 18, LAB 17, PHARM 13</t>
  </si>
  <si>
    <t>SELECT source_system, count(*) FROM cleansed.patient_record GROUP BY source_system;</t>
  </si>
  <si>
    <t>cleansed.lab_result assigns every one of the 36 messages exactly one dq_status, with the Appendix C distribution</t>
  </si>
  <si>
    <t>VALID 33, DUPLICATE 1, REJECTED_UNIT 1, FUTURE_DATE 1 (total 36)</t>
  </si>
  <si>
    <t>SELECT dq_status, count(*) FROM cleansed.lab_result GROUP BY dq_status;</t>
  </si>
  <si>
    <t>OBS-0033: 7.0% -&gt; hba1c_mmol_mol 53.0; OBS-0034: 8.1% -&gt; 65.0</t>
  </si>
  <si>
    <t>SELECT observation_id, value_as_received, unit_as_received, hba1c_mmol_mol FROM cleansed.lab_result WHERE observation_id IN ('OBS-0033','OBS-0034');</t>
  </si>
  <si>
    <t>17 masters from 18 GP records</t>
  </si>
  <si>
    <t>SELECT count(*) FROM cleansed.patient_master;</t>
  </si>
  <si>
    <t>LINKED 46, REVIEW 1, UNMATCHED 1 (total 48)</t>
  </si>
  <si>
    <t>SELECT match_status, count(*) FROM cleansed.patient_source_link GROUP BY match_status;</t>
  </si>
  <si>
    <t>8 rows: HIGH_NO_REVIEW 2 (P01, P12), HIGH_REVIEW_PENDING 3 (P02, P14, P17), NO_TEST_ON_RECORD 1 (P06), OVERDUE_TEST 2 (P03, P10)</t>
  </si>
  <si>
    <t>P01 listed as HIGH_NO_REVIEW (62 mmol/mol on 2026-05-20; window ended 2026-08-18 with no review visit)</t>
  </si>
  <si>
    <t>11 rows: NON_ADHERENT 2 (P02 0.333, P10 0.500), ADHERENT 9</t>
  </si>
  <si>
    <t>SELECT adherence_status, count(*) FROM reporting.vw_uc2_pdc GROUP BY adherence_status;</t>
  </si>
  <si>
    <t>P02 PDC = 0.333 (60/180: only the 2026-03-20 and 2026-06-15 fills count; the 2026-01-10 fill is before the window); NON_ADHERENT</t>
  </si>
  <si>
    <t>16 rows: RISING 4 (P01, P13, P14, P17), STABLE 7, INSUFFICIENT_HISTORY 5, FALLING 0</t>
  </si>
  <si>
    <t>SELECT trend_status, count(*) FROM reporting.vw_uc3_hba1c_trend GROUP BY trend_status;</t>
  </si>
  <si>
    <t>P01: change +12 (50 on 2025-10-10 -&gt; 62 on 2026-05-20), RISING; best_pdc 0.989; rising_despite_adherence = true</t>
  </si>
  <si>
    <t>Re-running the data scripts in order 01 -&gt; 02 -&gt; 02b leaves every source row count unchanged (no doubled rows, no leftovers)</t>
  </si>
  <si>
    <t>After the rerun, L01-L03 all still pass (18/28/36/34/68 etc.)</t>
  </si>
  <si>
    <t>A full 00-10 run on the empty glucolink_a2_test database reproduces every expected count in this plan, and a second full run changes none of them</t>
  </si>
  <si>
    <t>The three curated fact tables return exactly 28 encounters, 32 lab results and 65 dispenses - the complete set of VALID events belonging to LINKED patients</t>
  </si>
  <si>
    <t>P04, P05</t>
  </si>
  <si>
    <t>status</t>
  </si>
  <si>
    <t>SELECT * FROM reporting.vw_uc1_care_gaps WHERE patient_id = 'GL-0001'</t>
  </si>
  <si>
    <t>SELECT covered_days, pdc, adherence_status FROM reporting.vw_uc2_pdc WHERE patient_id = 'GL-0002';</t>
  </si>
  <si>
    <t>SELECT first_hba1c, last_hba1c, change_mmol_mol, trend_status, best_pdc, rising_despite_adherence FROM reporting.vw_uc3_hba1c_trend WHERE patient_id = 'GL-0001';</t>
  </si>
  <si>
    <t>L06</t>
  </si>
  <si>
    <t>reporting.rule_parameter holds exactly the nine agreed parameters with the agreed values (00_setup.sql, decision D1).</t>
  </si>
  <si>
    <t>n 9 | params = as_of_date=2026-09-01; hba1c_high_mmol=53; pdc_threshold=0.8; 
    pdc_window_days=180; return_grace_days=7; review_window_days=90; test_overdue_months=6; 
    trend_min_change_mmol=5; trend_window_months=12</t>
  </si>
  <si>
    <t>L07</t>
  </si>
  <si>
    <t>The RAW extract is logged: the latest 03_raw_extract run in audit.pipeline_run finished with SUCCESS and read and loaded 225 rows (3+18+28+2+17+36+34+3+3+13+68, the 11 source tables).</t>
  </si>
  <si>
    <t>pipeline_name 03_raw_extract | status SUCCESS | rows_read 225 | rows_loaded 225 | rows_rejected 0 | finished true</t>
  </si>
  <si>
    <t>SELECT pipeline_name, status, rows_read, rows_loaded, rows_rejected, (finished_at IS NOT NULL) AS finished
  FROM audit.pipeline_run
  WHERE pipeline_name = '03_raw_extract'
  ORDER BY run_id DESC
  LIMIT 1;</t>
  </si>
  <si>
    <t>SELECT count(*) AS n, string_agg(param_name || '=' || param_value, '; ' ORDER BY param_name) AS params 
  FROM reporting.rule_parameter;</t>
  </si>
  <si>
    <t>L09</t>
  </si>
  <si>
    <t>curated.dim_date covers the two calendar years 2025 and 2026 with one row per day and unique keys.</t>
  </si>
  <si>
    <t>n 730 | first_date 2025-01-01 | last_date 2026-12-31 | distinct_keys 730</t>
  </si>
  <si>
    <t>SELECT count(*) AS n, min(full_date) AS first_date, max(full_date) AS last_date, count(DISTINCT date_key) AS distinct_keys
  FROM curated.dim_date;</t>
  </si>
  <si>
    <t>L10</t>
  </si>
  <si>
    <t>curated.dim_patient has one row per golden patient, every patient_id is well formed (GL-0001 to GL-0017, decision D4), and every patient has a home clinic (decision D3).</t>
  </si>
  <si>
    <t>n 17 | first_id GL-0001 | last_id GL-0017 | well_formed 17 | null_home_clinic 0</t>
  </si>
  <si>
    <t>SELECT count(*) AS n, min(patient_id) AS first_id, max(patient_id) AS last_id,
         count(*) FILTER (WHERE patient_id ~ '^GL-[0-9]{4}$') AS well_formed,
         count(*) FILTER (WHERE home_clinic_key IS NULL)      AS null_home_clinic
  FROM curated.dim_patient;</t>
  </si>
  <si>
    <t>Pass</t>
  </si>
  <si>
    <t>U103</t>
  </si>
  <si>
    <t>U106</t>
  </si>
  <si>
    <t>P01, P02, P03, P06, P10, P12, P14, P17</t>
  </si>
  <si>
    <t>Full listing of reporting.vw_uc1_care_gaps matches card E-4 row by row.</t>
  </si>
  <si>
    <t>8 rows: GL-0001 Thomas Smith HIGH_NO_REVIEW | GL-0002 Mei Chen HIGH_REVIEW_PENDING | 
    GL-0003 Ahmed Khan OVERDUE_TEST | GL-0006 Daniel Nguyen NO_TEST_ON_RECORD | GL-0010 William Jones 
    OVERDUE_TEST | GL-0012 Lucas Martin HIGH_NO_REVIEW | GL-0014 Noah Harris HIGH_REVIEW_PENDING | GL-0016 
    Zoe Clark HIGH_REVIEW_PENDING</t>
  </si>
  <si>
    <t>SELECT patient_id, display_name, care_gap_status
  FROM reporting.vw_uc1_care_gaps
  ORDER BY patient_id;</t>
  </si>
  <si>
    <t>U204</t>
  </si>
  <si>
    <t>all 11 eligible patients</t>
  </si>
  <si>
    <t>Full listing of reporting.vw_uc2_pdc matches card D-4 row by row (PDC to 3 decimals).</t>
  </si>
  <si>
    <t>11 rows: GL-0001 biguanide 0.989 ADHERENT | GL-0002 biguanide 0.333 NON_ADHERENT | 
    GL-0003 biguanide 0.978 ADHERENT | GL-0005 biguanide 0.972 ADHERENT | GL-0007 sulfonylurea 1.000 
    ADHERENT | GL-0008 biguanide 0.978 ADHERENT | GL-0009 biguanide 1.000 ADHERENT | GL-0010 biguanide 
    0.500 NON_ADHERENT | GL-0012 biguanide 0.972 ADHERENT | GL-0016 DPP-4 inhibitor 1.000 ADHERENT | 
    GL-0017 biguanide 0.917 ADHERENT</t>
  </si>
  <si>
    <t>SELECT patient_id, drug_class, pdc, adherence_status
  FROM reporting.vw_uc2_pdc
  ORDER BY patient_id, drug_class;</t>
  </si>
  <si>
    <t>U303</t>
  </si>
  <si>
    <t>U307</t>
  </si>
  <si>
    <t>all 16 patients with results</t>
  </si>
  <si>
    <t>Full listing of reporting.vw_uc3_hba1c_trend matches card E-4 row by row.</t>
  </si>
  <si>
    <t>16 rows: GL-0001 3 +12.0 RISING true | GL-0002 3 0.0 STABLE false | GL-0003 1 NULL 
    INSUFFICIENT_HISTORY false | GL-0004 2 +1.0 STABLE false | GL-0005 2 +1.1 STABLE false | GL-0007 1 NULL
    INSUFFICIENT_HISTORY false | GL-0008 2 -1.0 STABLE false | GL-0009 4 -1.0 STABLE false | GL-0010 1 
    NULL INSUFFICIENT_HISTORY false | GL-0011 2 -4.0 STABLE false | GL-0012 1 NULL INSUFFICIENT_HISTORY 
    false | GL-0013 2 +5.0 RISING false | GL-0014 2 +6.0 RISING false | GL-0015 2 -1.0 STABLE false | 
    GL-0016 2 +12.0 RISING true | GL-0017 1 NULL INSUFFICIENT_HISTORY false</t>
  </si>
  <si>
    <t>SELECT patient_id, n_results, change_mmol_mol, trend_status, rising_despite_adherence
  FROM reporting.vw_uc3_hba1c_trend
  ORDER BY patient_id;</t>
  </si>
  <si>
    <t>reporting.vw_uc4_care_path_breaks returns exactly the two expected breaks and nothing else (full listing, card D-4).</t>
  </si>
  <si>
    <t>2 rows: GL-0004 Olivia Brown RESULT_NOT_RETURNED (detail names OBS-0010) | GL-0005 
    James Wilson MULTI_PHARMACY_OVERLAP (detail names biguanide and the two pharmacies)</t>
  </si>
  <si>
    <t xml:space="preserve"> SELECT patient_id, display_name, break_type, detail, event_date
  FROM reporting.vw_uc4_care_path_breaks
  ORDER BY patient_id;</t>
  </si>
  <si>
    <t>L12</t>
  </si>
  <si>
    <t>P15</t>
  </si>
  <si>
    <t>No duplicate events in the facts: the number of distinct source event ids equals the row count in every fact table (the re-sent MSG-0032 must not create a second OBS-0031 row).</t>
  </si>
  <si>
    <t>dup_encounters 0 | dup_messages 0 | dup_observations 0 | dup_dispenses 0</t>
  </si>
  <si>
    <t>SELECT (SELECT count(*) - count(DISTINCT encounter_id)   FROM curated.fact_encounter)  AS dup_encounters,
         (SELECT count(*) - count(DISTINCT message_id)     FROM curated.fact_lab_result) AS dup_messages,
         (SELECT count(*) - count(DISTINCT observation_id) FROM curated.fact_lab_result) AS dup_observations,
         (SELECT count(*) - count(DISTINCT dispense_id)    FROM curated.fact_dispense)   AS dup_dispenses;</t>
  </si>
  <si>
    <t>P15 Ava Robinson</t>
  </si>
  <si>
    <t>A result sent twice counts once: the DUPLICATE message MSG-0032 is excluded, so n_results = 2 (51.0 -&gt; 50.0, STABLE), not 3.</t>
  </si>
  <si>
    <t>GL-0015 | n_results 2 | first_hba1c 51.0 | last_hba1c 50.0 | change -1.0 | STABLE</t>
  </si>
  <si>
    <t>SELECT patient_id, n_results, first_hba1c, last_hba1c, change_mmol_mol, trend_status
  FROM reporting.vw_uc3_hba1c_trend
  WHERE patient_id = 'GL-0015';</t>
  </si>
  <si>
    <t>Q04</t>
  </si>
  <si>
    <t>P01 (OBS-0001)</t>
  </si>
  <si>
    <t>Data trap - Sydney dates: JSON timestamps (09:00+10:00) are converted with AT TIME ZONE 'Australia/Sydney' before taking the date, so collected_date is not one day early on the UTC server. reported_date (issued) is always the day after collection.</t>
  </si>
  <si>
    <t>MSG-0001: collected_date 2025-10-10 | reported_date 2025-10-11 | rows_with_wrong_gap 0 (over all 36 messages)</t>
  </si>
  <si>
    <t>Q05</t>
  </si>
  <si>
    <t>P04, P05, P08, P18</t>
  </si>
  <si>
    <t>Data trap - Medicare normalisation: digits before '/' are kept only when exactly 10 digits remain, spaces removed, otherwise NULL.</t>
  </si>
  <si>
    <t>GP-0009 3890123478 | PATH0004 5456789034 | PH-1006 2567890145 | PH-1014 NULL | bad_length 0</t>
  </si>
  <si>
    <t>SELECT source_patient_id, medicare10,
         (SELECT count(*) FROM cleansed.patient_record WHERE length(medicare10) &lt;&gt; 10) AS bad_length
  FROM cleansed.patient_record
  WHERE source_patient_id IN ('GP-0009','PATH0004','PH-1006','PH-1014')
  ORDER BY source_patient_id;</t>
  </si>
  <si>
    <t>SELECT message_id, collected_date, reported_date, 
         (SELECT count(*) FROM cleansed.lab_result WHERE reported_date &lt;&gt; collected_date + 1) AS
  rows_with_wrong_gap
  FROM cleansed.lab_result
  WHERE message_id = 'MSG-0001';</t>
  </si>
  <si>
    <t>Q07</t>
  </si>
  <si>
    <t>P01, P18</t>
  </si>
  <si>
    <t>Card D four-row check: names are upper-cased with given_name = first word, dates are ISO, the two-digit year 15-Jan-49 becomes 1949-01-15 (not 2049), and Medicare is normalised the same way in all three sources.</t>
  </si>
  <si>
    <t>GP-0001 THOMAS SMITH 1962-05-14 2123456701 | PATH0001 THOMAS SMITH 1962-05-14 
    2123456701 | PH-1001 T SMITH 1962-05-14 2123456701 | PH-1014 E LEWIS 1949-01-15 NULL</t>
  </si>
  <si>
    <t>SELECT source_patient_id, given_name, family_name, dob, medicare10
  FROM cleansed.patient_record
  WHERE source_patient_id IN ('GP-0001','PATH0001','PH-1001','PH-1014')
  ORDER BY source_patient_id;</t>
  </si>
  <si>
    <t>I07</t>
  </si>
  <si>
    <t>P16, P06 (controls P01)</t>
  </si>
  <si>
    <t>Unmatched and REVIEW records are excluded from the facts, with controls: PH-1012's 3 dispenses and PATH0006's result OBS-0013 are absent while PH-1001's 7 dispenses and OBS-0001 are present.</t>
  </si>
  <si>
    <t>unmatched_dispenses 0 | control_dispenses 7 | review_results 0 | control_results 1</t>
  </si>
  <si>
    <t>SELECT (SELECT count(*) FROM curated.fact_dispense   WHERE dispense_id LIKE 'D-PH-1012-%') AS unmatched_dispenses,
         (SELECT count(*) FROM curated.fact_dispense   WHERE dispense_id LIKE 'D-PH-1001-%') AS control_dispenses,
         (SELECT count(*) FROM curated.fact_lab_result WHERE observation_id = 'OBS-0013') AS review_results,
         (SELECT count(*) FROM curated.fact_lab_result WHERE observation_id = 'OBS-0001') AS control_results;</t>
  </si>
  <si>
    <t>The three excluded messages are the intended ones, identified by message_id: MSG-0022 REJECTED_UNIT (blank unit kept as '', no converted value), MSG-0025 FUTURE_DATE (collected 2026-10-01, after the as-of date), MSG-0032 DUPLICATE (second message for OBS-0031) while MSG-0031 stays VALID.</t>
  </si>
  <si>
    <t>MSG-0022 OBS-0022 REJECTED_UNIT unit '' hba1c NULL | MSG-0025 OBS-0025 FUTURE_DATE | 
    MSG-0031 OBS-0031 VALID | MSG-0032 OBS-0031 DUPLICATE</t>
  </si>
  <si>
    <t>SELECT message_id, observation_id, dq_status, unit_as_received, hba1c_mmol_mol, collected_date
  FROM cleansed.lab_result
  WHERE message_id IN ('MSG-0022','MSG-0025','MSG-0031','MSG-0032')
  ORDER BY message_id;</t>
  </si>
  <si>
    <t>Matching quality against audit.identity_truth (read only after matching): precision = correct LINKED lab/pharmacy links / all LINKED lab/pharmacy links; recall = correct links /lab/pharmacy records whose true person has a GP record. A link is correct when the record's true person is the true person of the GP record(s) behind the same patient_id.</t>
  </si>
  <si>
    <t>linked 28 | correct_links 28 | should_link 29 | precision 1.000 | recall 0.966 (28/29;
    the one miss is PATH0006 in REVIEW)</t>
  </si>
  <si>
    <t>WITH gp_truth AS (
    SELECT l.patient_id, t.true_person_id
    FROM cleansed.patient_source_link l
    JOIN audit.identity_truth t USING (source_system, source_patient_id)
    WHERE l.source_system = 'GP' AND l.match_status = 'LINKED'
    GROUP BY l.patient_id, t.true_person_id
  ),
  lp AS (
    SELECT l.source_system, l.source_patient_id, l.match_status, l.patient_id, t.true_person_id,
           EXISTS (SELECT 1 FROM gp_truth g WHERE g.true_person_id = t.true_person_id) AS has_gp,
           EXISTS (SELECT 1 FROM gp_truth g WHERE g.patient_id = l.patient_id
                                              AND g.true_person_id = t.true_person_id) AS correct
    FROM cleansed.patient_source_link l
    JOIN audit.identity_truth t USING (source_system, source_patient_id)
    WHERE l.source_system IN ('LAB','PHARM')
  )
  SELECT count(*) FILTER (WHERE match_status = 'LINKED')             AS linked,
         count(*) FILTER (WHERE match_status = 'LINKED' AND correct) AS correct_links,
         count(*) FILTER (WHERE has_gp)                              AS should_link,
         round(count(*) FILTER (WHERE match_status = 'LINKED' AND correct)::numeric
               / NULLIF(count(*) FILTER (WHERE match_status = 'LINKED'), 0), 3) AS precision,
         round(count(*) FILTER (WHERE match_status = 'LINKED' AND correct)::numeric
               / NULLIF(count(*) FILTER (WHERE has_gp), 0), 3)                  AS recall
  FROM lp;</t>
  </si>
  <si>
    <t>GP-0001 GL-0001 LINKED GP | PATH0001 GL-0001 LINKED R1 | PH-1001 GL-0001 LINKED R1</t>
  </si>
  <si>
    <t>SELECT source_patient_id, patient_id, match_status, match_rule
  FROM cleansed.patient_source_link
  WHERE source_patient_id IN ('GP-0001','PATH0001','PH-1001')
  ORDER BY source_patient_id;</t>
  </si>
  <si>
    <t>P02 Mei Chen, P18 Ethan Lewis</t>
  </si>
  <si>
    <t>Rule R2 links pharmacy records without a Medicare number by dob + family name + first initial when there is exactly one candidate and no Medicare conflict.</t>
  </si>
  <si>
    <t>Rule R1 links the same Medicare number written three ways ('2123 45670 1', '2123456701/1', '2123456701') to one golden patient; the GP record carries match_rule 'GP'.</t>
  </si>
  <si>
    <t>PH-1002 GL-0002 LINKED R2 candidate_count 1 | PH-1014 GL-0017 LINKED R2 candidate_count 1</t>
  </si>
  <si>
    <t>SELECT source_patient_id, patient_id, match_status, match_rule, candidate_count
  FROM cleansed.patient_source_link
  WHERE source_patient_id IN ('PH-1002','PH-1014')
  ORDER BY source_patient_id;</t>
  </si>
  <si>
    <t>A record with two candidate masters (PATH0006: no Medicare, same name and dob as P06 and P07) goes to REVIEW and is never merged.</t>
  </si>
  <si>
    <t>PATH0006 | patient_id NULL | REVIEW | match_rule NULL | candidate_count 2</t>
  </si>
  <si>
    <t>SELECT source_patient_id, patient_id, match_status, match_rule, candidate_count
  FROM cleansed.patient_source_link
  WHERE source_patient_id = 'PATH0006';</t>
  </si>
  <si>
    <t>A pharmacy-only person with no GP registration stays UNMATCHED with no candidate.</t>
  </si>
  <si>
    <t>PH-1012 | patient_id NULL | UNMATCHED | match_rule NULL | candidate_count 0</t>
  </si>
  <si>
    <t xml:space="preserve"> SELECT source_patient_id, patient_id, match_status, match_rule, candidate_count
  FROM cleansed.patient_source_link
  WHERE source_patient_id = 'PH-1012';</t>
  </si>
  <si>
    <t>SELECT (SELECT count(*) FROM src_gp.clinic) AS clinic,
         (SELECT count(*) FROM src_gp.gp_patient) AS gp_patient,
         (SELECT count(*) FROM src_gp.encounter)  AS encounter;</t>
  </si>
  <si>
    <t>SELECT (SELECT count(*) FROM src_lab.laboratory) AS laboratory,
         (SELECT count(*) FROM src_lab.lab_patient) AS lab_patient,
         (SELECT count(*) FROM src_lab.observation_message) AS observation_message,
         (SELECT count(*) FROM src_lab.result_delivery) AS result_delivery;</t>
  </si>
  <si>
    <t>SELECT (SELECT count(*) FROM src_pharm.pharmacy) AS pharmacy,
         (SELECT count(*) FROM src_pharm.medication) AS medication,
         (SELECT count(*) FROM src_pharm.pharmacy_patient) AS pharmacy_patient,
         (SELECT count(*) FROM src_pharm.dispense)  AS dispense;</t>
  </si>
  <si>
    <t>n_rows 48 | persons 18 | known_system 48 (plus: the string 'identity_truth' is not found in sql/04 or sql/05)</t>
  </si>
  <si>
    <t>SELECT count(*) AS n_rows,
         count(DISTINCT true_person_id) AS persons,
         count(*) FILTER (WHERE source_system IN ('GP','LAB','PHARM')) AS known_system
  FROM audit.identity_truth;</t>
  </si>
  <si>
    <t>11 rows, src_rows = raw_rows on every row (3, 18, 28, 2, 17, 36, 34, 3, 3, 13, 68); mismatch false everywhere</t>
  </si>
  <si>
    <t>WITH pairs AS (
    SELECT 'raw.gp_clinic' AS raw_table, (SELECT count(*) FROM src_gp.clinic) AS src_rows, (SELECT count(*) FROM raw.gp_clinic) AS raw_rows
    UNION ALL SELECT 'raw.gp_patient', (SELECT count(*) FROM src_gp.gp_patient), (SELECT count(*) FROM raw.gp_patient)
    UNION ALL SELECT 'raw.gp_encounter', (SELECT count(*) FROM src_gp.encounter), (SELECT count(*) FROM raw.gp_encounter)
    UNION ALL SELECT 'raw.lab_laboratory', (SELECT count(*) FROM src_lab.laboratory), (SELECT count(*) FROM raw.lab_laboratory)
    UNION ALL SELECT 'raw.lab_patient', (SELECT count(*) FROM src_lab.lab_patient), (SELECT count(*) FROM raw.lab_patient)
    UNION ALL SELECT 'raw.lab_observation',  (SELECT count(*) FROM src_lab.observation_message), (SELECT count(*) FROM raw.lab_observation)
    UNION ALL SELECT 'raw.lab_delivery', (SELECT count(*) FROM src_lab.result_delivery), (SELECT count(*) FROM raw.lab_delivery)
    UNION ALL SELECT 'raw.pharm_pharmacy',   (SELECT count(*) FROM src_pharm.pharmacy), (SELECT count(*) FROM raw.pharm_pharmacy)
    UNION ALL SELECT 'raw.pharm_medication', (SELECT count(*) FROM src_pharm.medication), (SELECT count(*) FROM raw.pharm_medication)
    UNION ALL SELECT 'raw.pharm_patient',    (SELECT count(*) FROM src_pharm.pharmacy_patient), (SELECT count(*) FROM raw.pharm_patient)
    UNION ALL SELECT 'raw.pharm_dispense',   (SELECT count(*) FROM src_pharm.dispense), (SELECT count(*) FROM raw.pharm_dispense)
  )
  SELECT raw_table, src_rows, raw_rows, (src_rows &lt;&gt; raw_rows) AS mismatch FROM pairs;</t>
  </si>
  <si>
    <t>SELECT (SELECT count(*) FROM curated.fact_encounter)  AS fact_encounter,
         (SELECT count(*) FROM curated.fact_lab_result) AS fact_lab_result,
         (SELECT count(*) FROM curated.fact_dispense)   AS fact_dispense;</t>
  </si>
  <si>
    <t>SELECT care_gap_status, count(*) AS n
  FROM reporting.vw_uc1_care_gaps
  GROUP BY care_gap_status
  ORDER BY care_gap_status;</t>
  </si>
  <si>
    <t>GL-0005 | covered_days 175 | pdc 0.972 | ADHERENT | rows_over_one 0</t>
  </si>
  <si>
    <t>SELECT patient_id, covered_days, pdc, adherence_status,
         (SELECT count(*) FROM reporting.vw_uc2_pdc WHERE pdc &gt; 1 OR covered_days &gt; window_days) AS rows_over_one
  FROM reporting.vw_uc2_pdc
  WHERE patient_id = 'GL-0005';</t>
  </si>
  <si>
    <t>After run 2: tests = passed (all rows of audit.test_result), failed 0; raw_runs 2; all layer counts identical to run 1</t>
  </si>
  <si>
    <t>/-- Post the Teams warning (D9), run 01 -&gt; 02 -&gt; 02b again on the test database, then:
  SELECT (SELECT count(*) FROM src_gp.gp_patient) AS gp_patient,
         (SELECT count(*) FROM src_gp.encounter) AS encounter,
         (SELECT count(*) FROM src_lab.observation_message) AS observation_message,
         (SELECT count(*) FROM src_lab.result_delivery) AS result_delivery,
         (SELECT count(*) FROM src_pharm.dispense) AS dispense;</t>
  </si>
  <si>
    <t xml:space="preserve"> /-- After the second full 00 -&gt; 10 run on glucolink_a2_test:
  SELECT (SELECT count(*) FROM audit.test_result) AS tests,
         (SELECT count(*) FROM audit.test_result WHERE passed) AS passed,
         (SELECT count(*) FROM audit.test_result WHERE NOT passed) AS failed,
         (SELECT count(*) FROM audit.pipeline_run WHERE pipeline_name = '03_raw_extract') AS raw_runs;</t>
  </si>
  <si>
    <t>SELECT count(*) AS n_rows
  FROM reporting.vw_uc4_care_path_breaks
  WHERE detail LIKE '%OBS-0031%' OR detail LIKE '%MSG-0032%' OR patient_id = 'GL-0009';</t>
  </si>
  <si>
    <t>n_rows 0</t>
  </si>
  <si>
    <t>P13 Chloe White, P09 Grace Taylor</t>
  </si>
  <si>
    <t>SELECT count(*) AS n_rows FROM reporting.vw_uc1_care_gaps WHERE patient_id IN ('GL-0013', 'GL-0009');</t>
  </si>
  <si>
    <t>03_raw_extract.sql copies every source table unchanged: each of the 11 raw.* tables has the same row count as its src_* table.</t>
  </si>
  <si>
    <t>P11 Emily Davis, P03 Ahmed Khan</t>
  </si>
  <si>
    <t>NEGATIVE - results outside the window are excluded: P11's FUTURE_DATE result (OBS-0025, 2026-10-01) is ignored so 54.0 -&gt; 50.0 is STABLE (-4.0); P03's 2025-06-10 result is before 2025-09-01 so only one result remains, INSUFFICIENT_HISTORY.</t>
  </si>
  <si>
    <t>GL-0003 n_results 1 change NULL INSUFFICIENT_HISTORY | GL-0011 n_results 2 54.0 -&gt; 50.0 change -4.0 STABLE</t>
  </si>
  <si>
    <t>SELECT patient_id, n_results, first_hba1c, last_hba1c, change_mmol_mol, trend_status
  FROM reporting.vw_uc3_hba1c_trend
  WHERE patient_id IN ('GL-0003','GL-0011')
  ORDER BY patient_id;</t>
  </si>
  <si>
    <t>How we check (runnable SQL)</t>
  </si>
  <si>
    <t>Due</t>
  </si>
  <si>
    <t>Owner</t>
  </si>
  <si>
    <t>Card</t>
  </si>
  <si>
    <t>File name (evidence/)</t>
  </si>
  <si>
    <t>What the screenshot must show</t>
  </si>
  <si>
    <t>Received</t>
  </si>
  <si>
    <t>Checked by F (date)</t>
  </si>
  <si>
    <t>Notes</t>
  </si>
  <si>
    <t>Evidence rules (evidence/README.md)</t>
  </si>
  <si>
    <t>2. Each screenshot shows the query, the result grid AND the database name (CloudBeaver connection shown in the header).</t>
  </si>
  <si>
    <t>3. One screenshot per acceptance check, uploaded to evidence/ by the owner from their own GitHub account, then posted in Teams with the file name.</t>
  </si>
  <si>
    <t>1. File name: YYYY-MM-DD_&lt;package letter&gt;_&lt;what&gt;.png, e.g. 2026-10-08_C_raw_counts.png.</t>
  </si>
  <si>
    <t>4. F keeps this list up to date daily and reminds owners in Teams the evening before each due time.</t>
  </si>
  <si>
    <t>run result</t>
  </si>
  <si>
    <t>C
Quang</t>
  </si>
  <si>
    <t>2026-10-07
(12:00)</t>
  </si>
  <si>
    <t>B
Zhihao</t>
  </si>
  <si>
    <t>D
Yutong</t>
  </si>
  <si>
    <t>E
Shuo</t>
  </si>
  <si>
    <t>F
Minha</t>
  </si>
  <si>
    <t>B+F</t>
  </si>
  <si>
    <t>C-2</t>
  </si>
  <si>
    <t>B-1</t>
  </si>
  <si>
    <t>D-1</t>
  </si>
  <si>
    <t>D-2</t>
  </si>
  <si>
    <t>B-2</t>
  </si>
  <si>
    <t>C-3</t>
  </si>
  <si>
    <t>D-3</t>
  </si>
  <si>
    <t>E-2</t>
  </si>
  <si>
    <t>F-3</t>
  </si>
  <si>
    <t>E-3</t>
  </si>
  <si>
    <t>D-4</t>
  </si>
  <si>
    <t>E-4</t>
  </si>
  <si>
    <t>F-4</t>
  </si>
  <si>
    <t>F-5</t>
  </si>
  <si>
    <t>2026-10-07_C_source_counts.png</t>
  </si>
  <si>
    <t>2026-10-07
(21:00)</t>
  </si>
  <si>
    <t>2026-10-07
(23:00)</t>
  </si>
  <si>
    <t>2026-10-08
(12:00)</t>
  </si>
  <si>
    <t>2026-10-08
(21:00)</t>
  </si>
  <si>
    <t>2026-10-09
(12:00)</t>
  </si>
  <si>
    <t>2026-10-09
(18:00)</t>
  </si>
  <si>
    <t>2026-10-10
(12:00)</t>
  </si>
  <si>
    <t>2026-10-09
(21:00)</t>
  </si>
  <si>
    <t>2026-10-11
(15:00)</t>
  </si>
  <si>
    <t>2026-10-11
(18:00)</t>
  </si>
  <si>
    <t>2026-10-10
(21:00)</t>
  </si>
  <si>
    <t>2026-10-07_B_setup_check.png</t>
  </si>
  <si>
    <t>01 fix+48 patient records: gp_patient 18, lab_patient 17, pharmacy_patient 13</t>
  </si>
  <si>
    <t>00_setup.sql: rule_parameter shows the 9 D1 names and values</t>
  </si>
  <si>
    <t>encounter 28, dispense 68, identity_truth 48</t>
  </si>
  <si>
    <t>Card D four-row query (GP-0001, PATH0001, PH-1001, PH-1014) + total 48 (18/17/13)</t>
  </si>
  <si>
    <t>patient_master 17; match_status LINKED 46 / REVIEW 1 / UNMATCHED 1</t>
  </si>
  <si>
    <t xml:space="preserve"> 02b loaded: observation_message 36, result_delivery 34 </t>
  </si>
  <si>
    <t>11 raw tables next to source counts (all equal); pipeline_run latest SUCCESS, 225</t>
  </si>
  <si>
    <t>dq_status VALID 33 / DUPLICATE 1 / REJECTED_UNIT 1 / FUTURE_DATE 1; OBS-0001 dates 2025-10-10 / 2025-10-11; encounter 28, dispense 68</t>
  </si>
  <si>
    <t xml:space="preserve">dim_patient 17 rows, no NULL home_clinic_key, Sarah Lee -&gt; Parramatta Family Practice (file name suggested by F) </t>
  </si>
  <si>
    <t>Metabase query on the reporting schema (or note that the Excel fallback starts Fri 9 Oct)</t>
  </si>
  <si>
    <t xml:space="preserve">fact_encounter 28, fact_lab_result 32, fact_dispense 65; distinct event ids = rows </t>
  </si>
  <si>
    <t xml:space="preserve">vw_uc2_pdc 11 rows with the card D-4 PDC values </t>
  </si>
  <si>
    <t xml:space="preserve">vw_uc1_care_gaps 8 rows; vw_uc3_hba1c_trend 16 rows, no NULL rising_despite_adherence  </t>
  </si>
  <si>
    <t xml:space="preserve">vw_uc4_care_path_breaks 2 rows (Olivia Brown RESULT_NOT_RETURNED, James Wilson MULTI_PHARMACY_OVERLAP) </t>
  </si>
  <si>
    <t xml:space="preserve">09_tests.sql summary: count() = count() FILTER (WHERE passed), &gt;= 30, 0 failed  </t>
  </si>
  <si>
    <t xml:space="preserve">The three (or more) dashboards showing 8 / 11/ 16 / 2   </t>
  </si>
  <si>
    <t xml:space="preserve">Full 00 -&gt; 10 run on glucolink_a2_test: layer  counts and test summary after run 2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</si>
</sst>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 tint="0.14999847407452621"/>
      <name val="Aptos Narrow"/>
      <scheme val="minor"/>
    </font>
    <font>
      <sz val="12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1" fillId="2" borderId="0" xfId="1" applyAlignment="1">
      <alignment horizontal="center" vertical="top"/>
    </xf>
    <xf numFmtId="0" fontId="0" fillId="0" borderId="0" xfId="0" applyAlignment="1">
      <alignment vertical="top"/>
    </xf>
    <xf numFmtId="0" fontId="1" fillId="2" borderId="0" xfId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1" fillId="2" borderId="0" xfId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</cellXfs>
  <cellStyles count="2">
    <cellStyle name="Neutral" xfId="1" builtinId="28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0A6F-6292-244C-95E4-8F201FE2E14D}">
  <dimension ref="A1:H49"/>
  <sheetViews>
    <sheetView topLeftCell="E1" workbookViewId="0">
      <selection activeCell="F6" sqref="F6"/>
    </sheetView>
  </sheetViews>
  <sheetFormatPr baseColWidth="10" defaultRowHeight="16" x14ac:dyDescent="0.2"/>
  <cols>
    <col min="1" max="2" width="10.83203125" style="6"/>
    <col min="3" max="3" width="15" style="13" customWidth="1"/>
    <col min="4" max="4" width="48.83203125" style="4" customWidth="1"/>
    <col min="5" max="5" width="53.33203125" style="4" customWidth="1"/>
    <col min="6" max="6" width="121" style="4" customWidth="1"/>
  </cols>
  <sheetData>
    <row r="1" spans="1:8" s="1" customFormat="1" ht="17" x14ac:dyDescent="0.2">
      <c r="A1" s="5" t="s">
        <v>0</v>
      </c>
      <c r="B1" s="5" t="s">
        <v>1</v>
      </c>
      <c r="C1" s="12" t="s">
        <v>2</v>
      </c>
      <c r="D1" s="3" t="s">
        <v>3</v>
      </c>
      <c r="E1" s="3" t="s">
        <v>4</v>
      </c>
      <c r="F1" s="3" t="s">
        <v>210</v>
      </c>
      <c r="G1" s="3" t="s">
        <v>98</v>
      </c>
      <c r="H1" s="3" t="s">
        <v>224</v>
      </c>
    </row>
    <row r="2" spans="1:8" ht="51" x14ac:dyDescent="0.2">
      <c r="A2" s="6" t="s">
        <v>5</v>
      </c>
      <c r="B2" s="7" t="s">
        <v>34</v>
      </c>
      <c r="C2" s="13" t="s">
        <v>42</v>
      </c>
      <c r="D2" s="2" t="s">
        <v>65</v>
      </c>
      <c r="E2" s="4" t="s">
        <v>66</v>
      </c>
      <c r="F2" s="2" t="s">
        <v>187</v>
      </c>
    </row>
    <row r="3" spans="1:8" ht="68" x14ac:dyDescent="0.2">
      <c r="A3" s="6" t="s">
        <v>6</v>
      </c>
      <c r="B3" s="7" t="s">
        <v>34</v>
      </c>
      <c r="C3" s="13" t="s">
        <v>42</v>
      </c>
      <c r="D3" s="2" t="s">
        <v>67</v>
      </c>
      <c r="E3" s="4" t="s">
        <v>68</v>
      </c>
      <c r="F3" s="2" t="s">
        <v>188</v>
      </c>
    </row>
    <row r="4" spans="1:8" ht="68" x14ac:dyDescent="0.2">
      <c r="A4" s="6" t="s">
        <v>7</v>
      </c>
      <c r="B4" s="7" t="s">
        <v>34</v>
      </c>
      <c r="C4" s="13" t="s">
        <v>42</v>
      </c>
      <c r="D4" s="2" t="s">
        <v>69</v>
      </c>
      <c r="E4" s="4" t="s">
        <v>70</v>
      </c>
      <c r="F4" s="2" t="s">
        <v>189</v>
      </c>
    </row>
    <row r="5" spans="1:8" ht="68" x14ac:dyDescent="0.2">
      <c r="A5" s="6" t="s">
        <v>8</v>
      </c>
      <c r="B5" s="7" t="s">
        <v>34</v>
      </c>
      <c r="C5" s="13" t="s">
        <v>43</v>
      </c>
      <c r="D5" s="2" t="s">
        <v>71</v>
      </c>
      <c r="E5" s="2" t="s">
        <v>190</v>
      </c>
      <c r="F5" s="2" t="s">
        <v>191</v>
      </c>
    </row>
    <row r="6" spans="1:8" ht="238" x14ac:dyDescent="0.2">
      <c r="A6" s="6" t="s">
        <v>9</v>
      </c>
      <c r="B6" s="7" t="s">
        <v>34</v>
      </c>
      <c r="C6" s="13" t="s">
        <v>42</v>
      </c>
      <c r="D6" s="2" t="s">
        <v>205</v>
      </c>
      <c r="E6" s="4" t="s">
        <v>192</v>
      </c>
      <c r="F6" s="2" t="s">
        <v>193</v>
      </c>
    </row>
    <row r="7" spans="1:8" ht="51" x14ac:dyDescent="0.2">
      <c r="A7" s="6" t="s">
        <v>102</v>
      </c>
      <c r="B7" s="7" t="s">
        <v>34</v>
      </c>
      <c r="C7" s="13" t="s">
        <v>42</v>
      </c>
      <c r="D7" s="2" t="s">
        <v>103</v>
      </c>
      <c r="E7" s="2" t="s">
        <v>104</v>
      </c>
      <c r="F7" s="2" t="s">
        <v>109</v>
      </c>
      <c r="G7" s="2" t="s">
        <v>118</v>
      </c>
      <c r="H7" t="e" vm="1">
        <v>#VALUE!</v>
      </c>
    </row>
    <row r="8" spans="1:8" ht="85" x14ac:dyDescent="0.2">
      <c r="A8" s="6" t="s">
        <v>105</v>
      </c>
      <c r="B8" s="7" t="s">
        <v>34</v>
      </c>
      <c r="C8" s="13" t="s">
        <v>42</v>
      </c>
      <c r="D8" s="2" t="s">
        <v>106</v>
      </c>
      <c r="E8" s="2" t="s">
        <v>107</v>
      </c>
      <c r="F8" s="2" t="s">
        <v>108</v>
      </c>
    </row>
    <row r="9" spans="1:8" ht="51" x14ac:dyDescent="0.2">
      <c r="A9" s="6" t="s">
        <v>10</v>
      </c>
      <c r="B9" s="7" t="s">
        <v>34</v>
      </c>
      <c r="C9" s="13" t="s">
        <v>42</v>
      </c>
      <c r="D9" s="2" t="s">
        <v>96</v>
      </c>
      <c r="E9" s="4" t="s">
        <v>72</v>
      </c>
      <c r="F9" s="2" t="s">
        <v>194</v>
      </c>
    </row>
    <row r="10" spans="1:8" ht="34" x14ac:dyDescent="0.2">
      <c r="A10" s="6" t="s">
        <v>110</v>
      </c>
      <c r="B10" s="7" t="s">
        <v>34</v>
      </c>
      <c r="C10" s="13" t="s">
        <v>42</v>
      </c>
      <c r="D10" s="2" t="s">
        <v>111</v>
      </c>
      <c r="E10" s="4" t="s">
        <v>112</v>
      </c>
      <c r="F10" s="2" t="s">
        <v>113</v>
      </c>
      <c r="G10" t="s">
        <v>118</v>
      </c>
      <c r="H10" t="e" vm="2">
        <v>#VALUE!</v>
      </c>
    </row>
    <row r="11" spans="1:8" ht="68" x14ac:dyDescent="0.2">
      <c r="A11" s="6" t="s">
        <v>114</v>
      </c>
      <c r="B11" s="7" t="s">
        <v>34</v>
      </c>
      <c r="C11" s="13" t="s">
        <v>43</v>
      </c>
      <c r="D11" s="2" t="s">
        <v>115</v>
      </c>
      <c r="E11" s="4" t="s">
        <v>116</v>
      </c>
      <c r="F11" s="2" t="s">
        <v>117</v>
      </c>
    </row>
    <row r="12" spans="1:8" ht="68" x14ac:dyDescent="0.2">
      <c r="A12" s="6" t="s">
        <v>139</v>
      </c>
      <c r="B12" s="7" t="s">
        <v>34</v>
      </c>
      <c r="C12" s="13" t="s">
        <v>140</v>
      </c>
      <c r="D12" s="2" t="s">
        <v>141</v>
      </c>
      <c r="E12" s="4" t="s">
        <v>142</v>
      </c>
      <c r="F12" s="2" t="s">
        <v>143</v>
      </c>
    </row>
    <row r="13" spans="1:8" ht="51" x14ac:dyDescent="0.2">
      <c r="A13" s="6" t="s">
        <v>11</v>
      </c>
      <c r="B13" s="8" t="s">
        <v>35</v>
      </c>
      <c r="C13" s="13" t="s">
        <v>43</v>
      </c>
      <c r="D13" s="2" t="s">
        <v>73</v>
      </c>
      <c r="E13" s="4" t="s">
        <v>74</v>
      </c>
      <c r="F13" s="4" t="s">
        <v>75</v>
      </c>
    </row>
    <row r="14" spans="1:8" ht="34" x14ac:dyDescent="0.2">
      <c r="A14" s="6" t="s">
        <v>12</v>
      </c>
      <c r="B14" s="8" t="s">
        <v>35</v>
      </c>
      <c r="C14" s="13" t="s">
        <v>44</v>
      </c>
      <c r="D14" s="2" t="s">
        <v>76</v>
      </c>
      <c r="E14" s="4" t="s">
        <v>77</v>
      </c>
      <c r="F14" s="4" t="s">
        <v>78</v>
      </c>
    </row>
    <row r="15" spans="1:8" ht="102" x14ac:dyDescent="0.2">
      <c r="A15" s="6" t="s">
        <v>13</v>
      </c>
      <c r="B15" s="8" t="s">
        <v>35</v>
      </c>
      <c r="C15" s="13" t="s">
        <v>44</v>
      </c>
      <c r="D15" s="2" t="s">
        <v>168</v>
      </c>
      <c r="E15" s="2" t="s">
        <v>169</v>
      </c>
      <c r="F15" s="2" t="s">
        <v>170</v>
      </c>
    </row>
    <row r="16" spans="1:8" ht="85" x14ac:dyDescent="0.2">
      <c r="A16" s="6" t="s">
        <v>148</v>
      </c>
      <c r="B16" s="8" t="s">
        <v>35</v>
      </c>
      <c r="C16" s="13" t="s">
        <v>149</v>
      </c>
      <c r="D16" s="2" t="s">
        <v>150</v>
      </c>
      <c r="E16" s="2" t="s">
        <v>151</v>
      </c>
      <c r="F16" s="2" t="s">
        <v>157</v>
      </c>
    </row>
    <row r="17" spans="1:6" ht="85" x14ac:dyDescent="0.2">
      <c r="A17" s="6" t="s">
        <v>152</v>
      </c>
      <c r="B17" s="8" t="s">
        <v>35</v>
      </c>
      <c r="C17" s="13" t="s">
        <v>153</v>
      </c>
      <c r="D17" s="2" t="s">
        <v>154</v>
      </c>
      <c r="E17" s="2" t="s">
        <v>155</v>
      </c>
      <c r="F17" s="2" t="s">
        <v>156</v>
      </c>
    </row>
    <row r="18" spans="1:6" ht="34" x14ac:dyDescent="0.2">
      <c r="A18" s="6" t="s">
        <v>14</v>
      </c>
      <c r="B18" s="8" t="s">
        <v>35</v>
      </c>
      <c r="C18" s="13" t="s">
        <v>45</v>
      </c>
      <c r="D18" s="2" t="s">
        <v>53</v>
      </c>
      <c r="E18" s="4" t="s">
        <v>79</v>
      </c>
      <c r="F18" s="4" t="s">
        <v>80</v>
      </c>
    </row>
    <row r="19" spans="1:6" ht="68" x14ac:dyDescent="0.2">
      <c r="A19" s="6" t="s">
        <v>158</v>
      </c>
      <c r="B19" s="8" t="s">
        <v>35</v>
      </c>
      <c r="C19" s="13" t="s">
        <v>159</v>
      </c>
      <c r="D19" s="2" t="s">
        <v>160</v>
      </c>
      <c r="E19" s="2" t="s">
        <v>161</v>
      </c>
      <c r="F19" s="2" t="s">
        <v>162</v>
      </c>
    </row>
    <row r="20" spans="1:6" ht="51" x14ac:dyDescent="0.2">
      <c r="A20" s="6" t="s">
        <v>15</v>
      </c>
      <c r="B20" s="9" t="s">
        <v>36</v>
      </c>
      <c r="C20" s="13" t="s">
        <v>46</v>
      </c>
      <c r="D20" s="2" t="s">
        <v>54</v>
      </c>
      <c r="E20" s="4" t="s">
        <v>81</v>
      </c>
      <c r="F20" s="4" t="s">
        <v>82</v>
      </c>
    </row>
    <row r="21" spans="1:6" ht="51" x14ac:dyDescent="0.2">
      <c r="A21" s="6" t="s">
        <v>16</v>
      </c>
      <c r="B21" s="9" t="s">
        <v>36</v>
      </c>
      <c r="C21" s="13" t="s">
        <v>43</v>
      </c>
      <c r="D21" s="2" t="s">
        <v>55</v>
      </c>
      <c r="E21" s="4" t="s">
        <v>83</v>
      </c>
      <c r="F21" s="4" t="s">
        <v>84</v>
      </c>
    </row>
    <row r="22" spans="1:6" ht="68" x14ac:dyDescent="0.2">
      <c r="A22" s="6" t="s">
        <v>17</v>
      </c>
      <c r="B22" s="9" t="s">
        <v>36</v>
      </c>
      <c r="C22" s="13" t="s">
        <v>47</v>
      </c>
      <c r="D22" s="2" t="s">
        <v>178</v>
      </c>
      <c r="E22" s="4" t="s">
        <v>174</v>
      </c>
      <c r="F22" s="2" t="s">
        <v>175</v>
      </c>
    </row>
    <row r="23" spans="1:6" ht="68" x14ac:dyDescent="0.2">
      <c r="A23" s="6" t="s">
        <v>18</v>
      </c>
      <c r="B23" s="9" t="s">
        <v>36</v>
      </c>
      <c r="C23" s="13" t="s">
        <v>176</v>
      </c>
      <c r="D23" s="2" t="s">
        <v>177</v>
      </c>
      <c r="E23" s="4" t="s">
        <v>179</v>
      </c>
      <c r="F23" s="2" t="s">
        <v>180</v>
      </c>
    </row>
    <row r="24" spans="1:6" ht="51" x14ac:dyDescent="0.2">
      <c r="A24" s="6" t="s">
        <v>19</v>
      </c>
      <c r="B24" s="9" t="s">
        <v>36</v>
      </c>
      <c r="C24" s="13" t="s">
        <v>49</v>
      </c>
      <c r="D24" s="2" t="s">
        <v>181</v>
      </c>
      <c r="E24" s="4" t="s">
        <v>182</v>
      </c>
      <c r="F24" s="2" t="s">
        <v>183</v>
      </c>
    </row>
    <row r="25" spans="1:6" ht="51" x14ac:dyDescent="0.2">
      <c r="A25" s="6" t="s">
        <v>20</v>
      </c>
      <c r="B25" s="9" t="s">
        <v>36</v>
      </c>
      <c r="C25" s="13" t="s">
        <v>50</v>
      </c>
      <c r="D25" s="2" t="s">
        <v>184</v>
      </c>
      <c r="E25" s="4" t="s">
        <v>185</v>
      </c>
      <c r="F25" s="2" t="s">
        <v>186</v>
      </c>
    </row>
    <row r="26" spans="1:6" ht="68" x14ac:dyDescent="0.2">
      <c r="A26" s="6" t="s">
        <v>163</v>
      </c>
      <c r="B26" s="9" t="s">
        <v>36</v>
      </c>
      <c r="C26" s="13" t="s">
        <v>164</v>
      </c>
      <c r="D26" s="2" t="s">
        <v>165</v>
      </c>
      <c r="E26" s="4" t="s">
        <v>166</v>
      </c>
      <c r="F26" s="2" t="s">
        <v>167</v>
      </c>
    </row>
    <row r="27" spans="1:6" ht="404" x14ac:dyDescent="0.2">
      <c r="A27" s="6" t="s">
        <v>21</v>
      </c>
      <c r="B27" s="9" t="s">
        <v>36</v>
      </c>
      <c r="C27" s="13" t="s">
        <v>43</v>
      </c>
      <c r="D27" s="2" t="s">
        <v>171</v>
      </c>
      <c r="E27" s="2" t="s">
        <v>172</v>
      </c>
      <c r="F27" s="2" t="s">
        <v>173</v>
      </c>
    </row>
    <row r="28" spans="1:6" ht="68" x14ac:dyDescent="0.2">
      <c r="A28" s="6" t="s">
        <v>22</v>
      </c>
      <c r="B28" s="10" t="s">
        <v>37</v>
      </c>
      <c r="C28" s="13" t="s">
        <v>42</v>
      </c>
      <c r="D28" s="2" t="s">
        <v>56</v>
      </c>
      <c r="E28" s="4" t="s">
        <v>85</v>
      </c>
      <c r="F28" s="2" t="s">
        <v>195</v>
      </c>
    </row>
    <row r="29" spans="1:6" ht="68" x14ac:dyDescent="0.2">
      <c r="A29" s="6" t="s">
        <v>23</v>
      </c>
      <c r="B29" s="10" t="s">
        <v>37</v>
      </c>
      <c r="C29" s="13" t="s">
        <v>121</v>
      </c>
      <c r="D29" s="2" t="s">
        <v>122</v>
      </c>
      <c r="E29" s="2" t="s">
        <v>123</v>
      </c>
      <c r="F29" s="2" t="s">
        <v>124</v>
      </c>
    </row>
    <row r="30" spans="1:6" ht="34" x14ac:dyDescent="0.2">
      <c r="A30" s="6" t="s">
        <v>119</v>
      </c>
      <c r="B30" s="10" t="s">
        <v>37</v>
      </c>
      <c r="C30" s="13" t="s">
        <v>47</v>
      </c>
      <c r="D30" s="2" t="s">
        <v>57</v>
      </c>
      <c r="E30" s="4" t="s">
        <v>86</v>
      </c>
      <c r="F30" s="4" t="s">
        <v>99</v>
      </c>
    </row>
    <row r="31" spans="1:6" ht="34" x14ac:dyDescent="0.2">
      <c r="A31" s="6" t="s">
        <v>120</v>
      </c>
      <c r="B31" s="10" t="s">
        <v>37</v>
      </c>
      <c r="C31" s="13" t="s">
        <v>203</v>
      </c>
      <c r="D31" s="2" t="s">
        <v>58</v>
      </c>
      <c r="E31" s="4" t="s">
        <v>202</v>
      </c>
      <c r="F31" s="4" t="s">
        <v>204</v>
      </c>
    </row>
    <row r="32" spans="1:6" ht="51" x14ac:dyDescent="0.2">
      <c r="A32" s="6" t="s">
        <v>24</v>
      </c>
      <c r="B32" s="10" t="s">
        <v>38</v>
      </c>
      <c r="C32" s="13" t="s">
        <v>42</v>
      </c>
      <c r="D32" s="2" t="s">
        <v>59</v>
      </c>
      <c r="E32" s="4" t="s">
        <v>87</v>
      </c>
      <c r="F32" s="4" t="s">
        <v>88</v>
      </c>
    </row>
    <row r="33" spans="1:6" ht="85" x14ac:dyDescent="0.2">
      <c r="A33" s="6" t="s">
        <v>25</v>
      </c>
      <c r="B33" s="10" t="s">
        <v>38</v>
      </c>
      <c r="C33" s="13" t="s">
        <v>126</v>
      </c>
      <c r="D33" s="2" t="s">
        <v>127</v>
      </c>
      <c r="E33" s="2" t="s">
        <v>128</v>
      </c>
      <c r="F33" s="2" t="s">
        <v>129</v>
      </c>
    </row>
    <row r="34" spans="1:6" ht="51" x14ac:dyDescent="0.2">
      <c r="A34" s="6" t="s">
        <v>26</v>
      </c>
      <c r="B34" s="10" t="s">
        <v>38</v>
      </c>
      <c r="C34" s="13" t="s">
        <v>48</v>
      </c>
      <c r="D34" s="2" t="s">
        <v>60</v>
      </c>
      <c r="E34" s="4" t="s">
        <v>89</v>
      </c>
      <c r="F34" s="4" t="s">
        <v>100</v>
      </c>
    </row>
    <row r="35" spans="1:6" ht="68" x14ac:dyDescent="0.2">
      <c r="A35" s="6" t="s">
        <v>125</v>
      </c>
      <c r="B35" s="10" t="s">
        <v>38</v>
      </c>
      <c r="C35" s="13" t="s">
        <v>51</v>
      </c>
      <c r="D35" s="2" t="s">
        <v>61</v>
      </c>
      <c r="E35" s="4" t="s">
        <v>196</v>
      </c>
      <c r="F35" s="2" t="s">
        <v>197</v>
      </c>
    </row>
    <row r="36" spans="1:6" ht="51" x14ac:dyDescent="0.2">
      <c r="A36" s="6" t="s">
        <v>27</v>
      </c>
      <c r="B36" s="10" t="s">
        <v>39</v>
      </c>
      <c r="C36" s="13" t="s">
        <v>42</v>
      </c>
      <c r="D36" s="2" t="s">
        <v>62</v>
      </c>
      <c r="E36" s="4" t="s">
        <v>90</v>
      </c>
      <c r="F36" s="4" t="s">
        <v>91</v>
      </c>
    </row>
    <row r="37" spans="1:6" ht="102" x14ac:dyDescent="0.2">
      <c r="A37" s="6" t="s">
        <v>28</v>
      </c>
      <c r="B37" s="10" t="s">
        <v>39</v>
      </c>
      <c r="C37" s="13" t="s">
        <v>132</v>
      </c>
      <c r="D37" s="2" t="s">
        <v>133</v>
      </c>
      <c r="E37" s="2" t="s">
        <v>134</v>
      </c>
      <c r="F37" s="2" t="s">
        <v>135</v>
      </c>
    </row>
    <row r="38" spans="1:6" ht="51" x14ac:dyDescent="0.2">
      <c r="A38" s="6" t="s">
        <v>130</v>
      </c>
      <c r="B38" s="10" t="s">
        <v>39</v>
      </c>
      <c r="C38" s="13" t="s">
        <v>47</v>
      </c>
      <c r="D38" s="2" t="s">
        <v>63</v>
      </c>
      <c r="E38" s="4" t="s">
        <v>92</v>
      </c>
      <c r="F38" s="4" t="s">
        <v>101</v>
      </c>
    </row>
    <row r="39" spans="1:6" ht="85" x14ac:dyDescent="0.2">
      <c r="A39" s="6" t="s">
        <v>29</v>
      </c>
      <c r="B39" s="10" t="s">
        <v>39</v>
      </c>
      <c r="C39" s="13" t="s">
        <v>206</v>
      </c>
      <c r="D39" s="2" t="s">
        <v>207</v>
      </c>
      <c r="E39" s="4" t="s">
        <v>208</v>
      </c>
      <c r="F39" s="2" t="s">
        <v>209</v>
      </c>
    </row>
    <row r="40" spans="1:6" ht="51" x14ac:dyDescent="0.2">
      <c r="A40" s="6" t="s">
        <v>131</v>
      </c>
      <c r="B40" s="10" t="s">
        <v>39</v>
      </c>
      <c r="C40" s="13" t="s">
        <v>144</v>
      </c>
      <c r="D40" s="2" t="s">
        <v>145</v>
      </c>
      <c r="E40" s="4" t="s">
        <v>146</v>
      </c>
      <c r="F40" s="2" t="s">
        <v>147</v>
      </c>
    </row>
    <row r="41" spans="1:6" ht="51" x14ac:dyDescent="0.2">
      <c r="A41" s="6" t="s">
        <v>30</v>
      </c>
      <c r="B41" s="10" t="s">
        <v>40</v>
      </c>
      <c r="C41" s="13" t="s">
        <v>97</v>
      </c>
      <c r="D41" s="2" t="s">
        <v>136</v>
      </c>
      <c r="E41" s="2" t="s">
        <v>137</v>
      </c>
      <c r="F41" s="2" t="s">
        <v>138</v>
      </c>
    </row>
    <row r="42" spans="1:6" ht="51" x14ac:dyDescent="0.2">
      <c r="A42" s="6" t="s">
        <v>31</v>
      </c>
      <c r="B42" s="10" t="s">
        <v>40</v>
      </c>
      <c r="C42" s="13" t="s">
        <v>52</v>
      </c>
      <c r="D42" s="2" t="s">
        <v>64</v>
      </c>
      <c r="E42" s="4" t="s">
        <v>202</v>
      </c>
      <c r="F42" s="2" t="s">
        <v>201</v>
      </c>
    </row>
    <row r="43" spans="1:6" ht="102" x14ac:dyDescent="0.2">
      <c r="A43" s="6" t="s">
        <v>32</v>
      </c>
      <c r="B43" s="11" t="s">
        <v>41</v>
      </c>
      <c r="C43" s="13" t="s">
        <v>42</v>
      </c>
      <c r="D43" s="2" t="s">
        <v>93</v>
      </c>
      <c r="E43" s="4" t="s">
        <v>94</v>
      </c>
      <c r="F43" s="2" t="s">
        <v>199</v>
      </c>
    </row>
    <row r="44" spans="1:6" ht="85" x14ac:dyDescent="0.2">
      <c r="A44" s="6" t="s">
        <v>33</v>
      </c>
      <c r="B44" s="11" t="s">
        <v>41</v>
      </c>
      <c r="C44" s="13" t="s">
        <v>42</v>
      </c>
      <c r="D44" s="2" t="s">
        <v>95</v>
      </c>
      <c r="E44" s="4" t="s">
        <v>198</v>
      </c>
      <c r="F44" s="2" t="s">
        <v>200</v>
      </c>
    </row>
    <row r="45" spans="1:6" x14ac:dyDescent="0.2">
      <c r="D45" s="2"/>
    </row>
    <row r="46" spans="1:6" x14ac:dyDescent="0.2">
      <c r="D46" s="2"/>
    </row>
    <row r="47" spans="1:6" x14ac:dyDescent="0.2">
      <c r="D47" s="2"/>
    </row>
    <row r="49" spans="4:4" x14ac:dyDescent="0.2">
      <c r="D49" s="2"/>
    </row>
  </sheetData>
  <phoneticPr fontId="2" type="noConversion"/>
  <conditionalFormatting sqref="G2:G1048576">
    <cfRule type="cellIs" dxfId="5" priority="1" operator="equal">
      <formula>"Blocked"</formula>
    </cfRule>
    <cfRule type="cellIs" dxfId="4" priority="2" operator="equal">
      <formula>"Fail"</formula>
    </cfRule>
    <cfRule type="cellIs" dxfId="3" priority="3" operator="equal">
      <formula>"Pass"</formula>
    </cfRule>
  </conditionalFormatting>
  <dataValidations disablePrompts="1" count="1">
    <dataValidation type="list" allowBlank="1" showInputMessage="1" showErrorMessage="1" sqref="G2:G1048576" xr:uid="{8DF08CFE-93BA-2846-90B2-153942F105FA}">
      <formula1>"Not run, Pass, Fail, Blocked"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91405-EDC3-7D4A-A5F5-91451654D489}">
  <dimension ref="A1:L26"/>
  <sheetViews>
    <sheetView tabSelected="1" topLeftCell="A13" workbookViewId="0">
      <selection activeCell="E31" sqref="E31"/>
    </sheetView>
  </sheetViews>
  <sheetFormatPr baseColWidth="10" defaultRowHeight="16" x14ac:dyDescent="0.2"/>
  <cols>
    <col min="1" max="1" width="10.5" bestFit="1" customWidth="1"/>
    <col min="3" max="3" width="5.1640625" bestFit="1" customWidth="1"/>
    <col min="4" max="4" width="29.1640625" bestFit="1" customWidth="1"/>
    <col min="5" max="5" width="41.5" style="16" customWidth="1"/>
  </cols>
  <sheetData>
    <row r="1" spans="1:12" x14ac:dyDescent="0.2">
      <c r="A1" s="14" t="s">
        <v>219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2">
      <c r="A2" s="15" t="s">
        <v>222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x14ac:dyDescent="0.2">
      <c r="A3" s="15" t="s">
        <v>220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x14ac:dyDescent="0.2">
      <c r="A4" s="15" t="s">
        <v>221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x14ac:dyDescent="0.2">
      <c r="A5" s="15" t="s">
        <v>223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9" spans="1:12" ht="17" x14ac:dyDescent="0.2">
      <c r="A9" t="s">
        <v>211</v>
      </c>
      <c r="B9" t="s">
        <v>212</v>
      </c>
      <c r="C9" t="s">
        <v>213</v>
      </c>
      <c r="D9" t="s">
        <v>214</v>
      </c>
      <c r="E9" s="16" t="s">
        <v>215</v>
      </c>
      <c r="F9" t="s">
        <v>216</v>
      </c>
      <c r="G9" t="s">
        <v>217</v>
      </c>
      <c r="H9" t="s">
        <v>218</v>
      </c>
    </row>
    <row r="10" spans="1:12" ht="34" x14ac:dyDescent="0.2">
      <c r="A10" s="16" t="s">
        <v>226</v>
      </c>
      <c r="B10" s="16" t="s">
        <v>225</v>
      </c>
      <c r="C10" t="s">
        <v>232</v>
      </c>
      <c r="D10" t="s">
        <v>246</v>
      </c>
      <c r="E10" s="16" t="s">
        <v>259</v>
      </c>
    </row>
    <row r="11" spans="1:12" ht="34" x14ac:dyDescent="0.2">
      <c r="A11" s="16" t="s">
        <v>226</v>
      </c>
      <c r="B11" s="16" t="s">
        <v>227</v>
      </c>
      <c r="C11" t="s">
        <v>233</v>
      </c>
      <c r="D11" t="s">
        <v>258</v>
      </c>
      <c r="E11" s="16" t="s">
        <v>260</v>
      </c>
    </row>
    <row r="12" spans="1:12" ht="34" x14ac:dyDescent="0.2">
      <c r="A12" s="16" t="s">
        <v>247</v>
      </c>
      <c r="B12" s="16" t="s">
        <v>225</v>
      </c>
      <c r="C12" t="s">
        <v>232</v>
      </c>
      <c r="D12" t="s">
        <v>246</v>
      </c>
      <c r="E12" s="16" t="s">
        <v>261</v>
      </c>
    </row>
    <row r="13" spans="1:12" ht="34" x14ac:dyDescent="0.2">
      <c r="A13" s="16" t="s">
        <v>247</v>
      </c>
      <c r="B13" s="16" t="s">
        <v>228</v>
      </c>
      <c r="C13" t="s">
        <v>234</v>
      </c>
      <c r="D13" t="s">
        <v>246</v>
      </c>
      <c r="E13" s="16" t="s">
        <v>262</v>
      </c>
    </row>
    <row r="14" spans="1:12" ht="34" x14ac:dyDescent="0.2">
      <c r="A14" s="16" t="s">
        <v>247</v>
      </c>
      <c r="B14" s="16" t="s">
        <v>228</v>
      </c>
      <c r="C14" t="s">
        <v>235</v>
      </c>
      <c r="D14" t="s">
        <v>246</v>
      </c>
      <c r="E14" s="16" t="s">
        <v>263</v>
      </c>
    </row>
    <row r="15" spans="1:12" ht="34" x14ac:dyDescent="0.2">
      <c r="A15" s="16" t="s">
        <v>248</v>
      </c>
      <c r="B15" s="16" t="s">
        <v>227</v>
      </c>
      <c r="C15" t="s">
        <v>236</v>
      </c>
      <c r="D15" t="s">
        <v>246</v>
      </c>
      <c r="E15" s="16" t="s">
        <v>264</v>
      </c>
    </row>
    <row r="16" spans="1:12" ht="34" x14ac:dyDescent="0.2">
      <c r="A16" s="16" t="s">
        <v>249</v>
      </c>
      <c r="B16" s="16" t="s">
        <v>225</v>
      </c>
      <c r="C16" t="s">
        <v>237</v>
      </c>
      <c r="D16" t="s">
        <v>246</v>
      </c>
      <c r="E16" s="16" t="s">
        <v>265</v>
      </c>
    </row>
    <row r="17" spans="1:5" ht="68" x14ac:dyDescent="0.2">
      <c r="A17" s="16" t="s">
        <v>250</v>
      </c>
      <c r="B17" s="16" t="s">
        <v>228</v>
      </c>
      <c r="C17" t="s">
        <v>238</v>
      </c>
      <c r="D17" t="s">
        <v>246</v>
      </c>
      <c r="E17" s="16" t="s">
        <v>266</v>
      </c>
    </row>
    <row r="18" spans="1:5" ht="51" x14ac:dyDescent="0.2">
      <c r="A18" s="16" t="s">
        <v>250</v>
      </c>
      <c r="B18" s="16" t="s">
        <v>229</v>
      </c>
      <c r="C18" t="s">
        <v>239</v>
      </c>
      <c r="D18" t="s">
        <v>246</v>
      </c>
      <c r="E18" s="16" t="s">
        <v>267</v>
      </c>
    </row>
    <row r="19" spans="1:5" ht="34" x14ac:dyDescent="0.2">
      <c r="A19" s="16" t="s">
        <v>250</v>
      </c>
      <c r="B19" s="16" t="s">
        <v>230</v>
      </c>
      <c r="C19" t="s">
        <v>240</v>
      </c>
      <c r="D19" t="s">
        <v>246</v>
      </c>
      <c r="E19" s="16" t="s">
        <v>268</v>
      </c>
    </row>
    <row r="20" spans="1:5" ht="34" x14ac:dyDescent="0.2">
      <c r="A20" s="16" t="s">
        <v>251</v>
      </c>
      <c r="B20" s="16" t="s">
        <v>229</v>
      </c>
      <c r="C20" t="s">
        <v>241</v>
      </c>
      <c r="D20" t="s">
        <v>246</v>
      </c>
      <c r="E20" s="16" t="s">
        <v>269</v>
      </c>
    </row>
    <row r="21" spans="1:5" ht="34" x14ac:dyDescent="0.2">
      <c r="A21" s="16" t="s">
        <v>252</v>
      </c>
      <c r="B21" s="16" t="s">
        <v>228</v>
      </c>
      <c r="C21" t="s">
        <v>242</v>
      </c>
      <c r="D21" t="s">
        <v>246</v>
      </c>
      <c r="E21" s="16" t="s">
        <v>270</v>
      </c>
    </row>
    <row r="22" spans="1:5" ht="34" x14ac:dyDescent="0.2">
      <c r="A22" s="16" t="s">
        <v>254</v>
      </c>
      <c r="B22" s="16" t="s">
        <v>229</v>
      </c>
      <c r="C22" t="s">
        <v>243</v>
      </c>
      <c r="D22" t="s">
        <v>246</v>
      </c>
      <c r="E22" s="16" t="s">
        <v>271</v>
      </c>
    </row>
    <row r="23" spans="1:5" ht="51" x14ac:dyDescent="0.2">
      <c r="A23" s="17" t="s">
        <v>253</v>
      </c>
      <c r="B23" s="16" t="s">
        <v>228</v>
      </c>
      <c r="C23" t="s">
        <v>242</v>
      </c>
      <c r="D23" t="s">
        <v>246</v>
      </c>
      <c r="E23" s="16" t="s">
        <v>272</v>
      </c>
    </row>
    <row r="24" spans="1:5" ht="34" x14ac:dyDescent="0.2">
      <c r="A24" s="17" t="s">
        <v>257</v>
      </c>
      <c r="B24" s="16" t="s">
        <v>230</v>
      </c>
      <c r="C24" t="s">
        <v>244</v>
      </c>
      <c r="D24" t="s">
        <v>246</v>
      </c>
      <c r="E24" s="16" t="s">
        <v>273</v>
      </c>
    </row>
    <row r="25" spans="1:5" ht="34" x14ac:dyDescent="0.2">
      <c r="A25" s="16" t="s">
        <v>255</v>
      </c>
      <c r="B25" s="16" t="s">
        <v>230</v>
      </c>
      <c r="C25" t="s">
        <v>240</v>
      </c>
      <c r="D25" t="s">
        <v>246</v>
      </c>
      <c r="E25" s="16" t="s">
        <v>274</v>
      </c>
    </row>
    <row r="26" spans="1:5" ht="34" x14ac:dyDescent="0.2">
      <c r="A26" s="16" t="s">
        <v>256</v>
      </c>
      <c r="B26" s="16" t="s">
        <v>231</v>
      </c>
      <c r="C26" t="s">
        <v>245</v>
      </c>
      <c r="D26" t="s">
        <v>246</v>
      </c>
      <c r="E26" s="16" t="s">
        <v>275</v>
      </c>
    </row>
  </sheetData>
  <mergeCells count="5">
    <mergeCell ref="A2:L2"/>
    <mergeCell ref="A3:L3"/>
    <mergeCell ref="A4:L4"/>
    <mergeCell ref="A5:L5"/>
    <mergeCell ref="A1:L1"/>
  </mergeCells>
  <conditionalFormatting sqref="F10:F26">
    <cfRule type="cellIs" dxfId="2" priority="2" operator="equal">
      <formula>"Y"</formula>
    </cfRule>
    <cfRule type="cellIs" dxfId="1" priority="1" operator="equal">
      <formula>"N"</formula>
    </cfRule>
  </conditionalFormatting>
  <dataValidations count="1">
    <dataValidation type="list" allowBlank="1" showInputMessage="1" showErrorMessage="1" sqref="F10:F1048576 F1:F2" xr:uid="{47910C4E-0924-4841-859B-753E646BCBEE}">
      <formula1>"Y, 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Plan v1.1</vt:lpstr>
      <vt:lpstr>Evidence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Minha Kim</dc:creator>
  <cp:lastModifiedBy>Minha Kim</cp:lastModifiedBy>
  <dcterms:created xsi:type="dcterms:W3CDTF">2026-10-02T04:19:30Z</dcterms:created>
  <dcterms:modified xsi:type="dcterms:W3CDTF">2026-10-07T12:29:06Z</dcterms:modified>
</cp:coreProperties>
</file>