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13_ncr:1_{DAD24410-6096-BF41-9FEE-73A2962C140B}" xr6:coauthVersionLast="47" xr6:coauthVersionMax="47" xr10:uidLastSave="{00000000-0000-0000-0000-000000000000}"/>
  <bookViews>
    <workbookView xWindow="17280" yWindow="680" windowWidth="17280" windowHeight="19940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<sst xmlns="http://schemas.openxmlformats.org/spreadsheetml/2006/main" count="414" uniqueCount="294">
  <si>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</si>
  <si>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</si>
  <si>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</si>
  <si>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</si>
  <si>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</si>
  <si>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</si>
  <si>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</si>
  <si>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</si>
  <si>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</si>
  <si>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</si>
  <si>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</si>
  <si>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</si>
  <si>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</si>
  <si>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</si>
  <si>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</si>
  <si>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</si>
  <si>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</si>
  <si>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</si>
  <si>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</si>
  <si>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</si>
  <si>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</si>
  <si>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</si>
  <si>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</si>
  <si>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</si>
  <si>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</si>
  <si>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</si>
  <si>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</si>
  <si>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</si>
  <si>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</si>
  <si>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</si>
  <si>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</si>
  <si>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</si>
  <si>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</si>
  <si>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</si>
  <si>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</si>
  <si>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</si>
  <si>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</si>
  <si>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</si>
  <si>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</si>
  <si>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</si>
  <si>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</si>
  <si>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</si>
  <si>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</si>
  <si>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</si>
  <si>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</si>
  <si>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</si>
  <si>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</si>
  <si>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</si>
  <si>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</si>
  <si>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</si>
  <si>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</si>
  <si>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</si>
  <si>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</si>
  <si>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</si>
  <si>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</si>
  <si>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</si>
  <si>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</si>
  <si>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</si>
  <si>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NEGATIVE - a high result followed by a qualifying review visit within 90 days produces no care-gap row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</si>
  <si>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</si>
  <si>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</si>
  <si>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</si>
  <si>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</si>
  <si>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</si>
  <si>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</si>
  <si>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</si>
  <si>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</si>
  <si>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</si>
  <si>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</si>
  <si>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</si>
  <si>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</si>
  <si>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</si>
  <si>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</si>
  <si>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</si>
  <si>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</si>
  <si>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</si>
  <si>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</si>
  <si>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</si>
  <si>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</si>
  <si>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</si>
  <si>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</si>
  <si>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</si>
  <si>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</si>
  <si>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</si>
  <si>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</si>
  <si>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</si>
  <si>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</si>
  <si>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</si>
  <si>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</si>
  <si>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</si>
  <si>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</si>
  <si>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</si>
  <si>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</si>
  <si>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</si>
  <si>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</si>
  <si>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</si>
  <si>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</si>
  <si>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</si>
  <si>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</si>
  <si>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</si>
  <si>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</si>
  <si>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</si>
  <si>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</si>
  <si>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</si>
  <si>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</si>
  <si>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</si>
  <si>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</si>
  <si>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</si>
  <si>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</si>
  <si>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</si>
  <si>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</si>
  <si>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</si>
  <si>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</si>
  <si>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</si>
  <si>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</si>
  <si>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</si>
  <si>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</si>
  <si>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</si>
  <si>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</si>
  <si>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</si>
  <si>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</si>
  <si>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</si>
  <si>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</si>
  <si>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</si>
  <si>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</si>
  <si>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</si>
  <si>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</si>
  <si>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</si>
  <si>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</si>
  <si>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</si>
  <si>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</si>
  <si>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</si>
  <si>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</si>
  <si>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</si>
  <si>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</si>
  <si>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</si>
  <si>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</si>
  <si>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</si>
  <si>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</si>
  <si>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</si>
  <si>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</si>
  <si>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</si>
  <si>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</si>
  <si>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</si>
  <si>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</si>
  <si>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</si>
  <si>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</si>
  <si>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</si>
  <si>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</si>
  <si>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</si>
  <si>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</si>
  <si>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</si>
  <si>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</si>
  <si>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</si>
  <si>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</si>
  <si>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</si>
  <si>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</si>
  <si>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</si>
  <si>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</si>
  <si>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</si>
  <si>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</si>
  <si>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</si>
  <si>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</si>
  <si>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</si>
  <si>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</si>
  <si>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</si>
  <si>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</si>
  <si>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</si>
  <si>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</si>
  <si>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</si>
  <si>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</si>
  <si>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</si>
  <si>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</si>
  <si>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</si>
  <si>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</si>
  <si>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</si>
  <si>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</si>
  <si>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</si>
  <si>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</si>
  <si>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</si>
  <si>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</si>
  <si>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</si>
  <si>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</si>
  <si>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</si>
  <si>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</si>
  <si>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</si>
  <si>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n_rows 48 | persons 18 | known_system 48 (plus: the string 'identity_truth' is not found in sql/04 or sql/05)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</si>
  <si>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</si>
  <si>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</si>
  <si>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</si>
  <si>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</si>
  <si>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</si>
  <si>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</si>
  <si>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</si>
  <si>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</si>
  <si>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SELECT count(*) AS n_rows
  FROM reporting.vw_uc4_care_path_breaks
  WHERE detail LIKE '%OBS-0031%' OR detail LIKE '%MSG-0032%' OR patient_id = 'GL-0009';</t>
  </si>
  <si>
    <t>n_rows 0</t>
  </si>
  <si>
    <t>P13 Chloe White, P09 Grace Taylor</t>
  </si>
  <si>
    <t>SELECT count(*) AS n_rows FROM reporting.vw_uc1_care_gaps WHERE patient_id IN ('GL-0013', 'GL-0009');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</si>
  <si>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</si>
  <si>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</si>
  <si>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</si>
  <si>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</si>
  <si>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</si>
  <si>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</si>
  <si>
    <t>Due</t>
  </si>
  <si>
    <t>Owner</t>
  </si>
  <si>
    <t>Card</t>
  </si>
  <si>
    <t>File name (evidence/)</t>
  </si>
  <si>
    <t>What the screenshot must show</t>
  </si>
  <si>
    <t>Received</t>
  </si>
  <si>
    <t>Checked by F (date)</t>
  </si>
  <si>
    <t>Notes</t>
  </si>
  <si>
    <t>Evidence rules (evidence/README.md)</t>
  </si>
  <si>
    <t>2. Each screenshot shows the query, the result grid AND the database name (CloudBeaver connection shown in the header).</t>
  </si>
  <si>
    <t>3. One screenshot per acceptance check, uploaded to evidence/ by the owner from their own GitHub account, then posted in Teams with the file name.</t>
  </si>
  <si>
    <t>1. File name: YYYY-MM-DD_&lt;package letter&gt;_&lt;what&gt;.png, e.g. 2026-10-08_C_raw_counts.png.</t>
  </si>
  <si>
    <t>4. F keeps this list up to date daily and reminds owners in Teams the evening before each due time.</t>
  </si>
  <si>
    <t>run result</t>
  </si>
  <si>
    <t>C
Quang</t>
  </si>
  <si>
    <t>2026-10-07
(12:00)</t>
  </si>
  <si>
    <t>B
Zhihao</t>
  </si>
  <si>
    <t>D
Yutong</t>
  </si>
  <si>
    <t>E
Shuo</t>
  </si>
  <si>
    <t>F
Minha</t>
  </si>
  <si>
    <t>B+F</t>
  </si>
  <si>
    <t>C-2</t>
  </si>
  <si>
    <t>B-1</t>
  </si>
  <si>
    <t>D-1</t>
  </si>
  <si>
    <t>D-2</t>
  </si>
  <si>
    <t>B-2</t>
  </si>
  <si>
    <t>C-3</t>
  </si>
  <si>
    <t>D-3</t>
  </si>
  <si>
    <t>E-2</t>
  </si>
  <si>
    <t>F-3</t>
  </si>
  <si>
    <t>E-3</t>
  </si>
  <si>
    <t>D-4</t>
  </si>
  <si>
    <t>E-4</t>
  </si>
  <si>
    <t>F-4</t>
  </si>
  <si>
    <t>F-5</t>
  </si>
  <si>
    <t>2026-10-07_C_source_counts.png</t>
  </si>
  <si>
    <t>2026-10-07
(21:00)</t>
  </si>
  <si>
    <t>2026-10-07
(23:00)</t>
  </si>
  <si>
    <t>2026-10-08
(12:00)</t>
  </si>
  <si>
    <t>2026-10-08
(21:00)</t>
  </si>
  <si>
    <t>2026-10-09
(12:00)</t>
  </si>
  <si>
    <t>2026-10-09
(18:00)</t>
  </si>
  <si>
    <t>2026-10-10
(12:00)</t>
  </si>
  <si>
    <t>2026-10-09
(21:00)</t>
  </si>
  <si>
    <t>2026-10-11
(15:00)</t>
  </si>
  <si>
    <t>2026-10-11
(18:00)</t>
  </si>
  <si>
    <t>2026-10-10
(21:00)</t>
  </si>
  <si>
    <t>2026-10-07_B_setup_check.png</t>
  </si>
  <si>
    <t>01 fix+48 patient records: gp_patient 18, lab_patient 17, pharmacy_patient 13</t>
  </si>
  <si>
    <t>00_setup.sql: rule_parameter shows the 9 D1 names and values</t>
  </si>
  <si>
    <t>encounter 28, dispense 68, identity_truth 48</t>
  </si>
  <si>
    <t>Card D four-row query (GP-0001, PATH0001, PH-1001, PH-1014) + total 48 (18/17/13)</t>
  </si>
  <si>
    <t>patient_master 17; match_status LINKED 46 / REVIEW 1 / UNMATCHED 1</t>
  </si>
  <si>
    <t xml:space="preserve"> 02b loaded: observation_message 36, result_delivery 34 </t>
  </si>
  <si>
    <t>11 raw tables next to source counts (all equal); pipeline_run latest SUCCESS, 225</t>
  </si>
  <si>
    <t>dq_status VALID 33 / DUPLICATE 1 / REJECTED_UNIT 1 / FUTURE_DATE 1; OBS-0001 dates 2025-10-10 / 2025-10-11; encounter 28, dispense 68</t>
  </si>
  <si>
    <t xml:space="preserve">dim_patient 17 rows, no NULL home_clinic_key, Sarah Lee -&gt; Parramatta Family Practice (file name suggested by F) </t>
  </si>
  <si>
    <t>Metabase query on the reporting schema (or note that the Excel fallback starts Fri 9 Oct)</t>
  </si>
  <si>
    <t xml:space="preserve">fact_encounter 28, fact_lab_result 32, fact_dispense 65; distinct event ids = rows </t>
  </si>
  <si>
    <t xml:space="preserve">vw_uc2_pdc 11 rows with the card D-4 PDC values </t>
  </si>
  <si>
    <t xml:space="preserve">vw_uc1_care_gaps 8 rows; vw_uc3_hba1c_trend 16 rows, no NULL rising_despite_adherence  </t>
  </si>
  <si>
    <t xml:space="preserve">vw_uc4_care_path_breaks 2 rows (Olivia Brown RESULT_NOT_RETURNED, James Wilson MULTI_PHARMACY_OVERLAP) </t>
  </si>
  <si>
    <t xml:space="preserve">09_tests.sql summary: count() = count() FILTER (WHERE passed), &gt;= 30, 0 failed  </t>
  </si>
  <si>
    <t xml:space="preserve">The three (or more) dashboards showing 8 / 11/ 16 / 2   </t>
  </si>
  <si>
    <t xml:space="preserve">Full 00 -&gt; 10 run on glucolink_a2_test: layer  counts and test summary after run 2  </t>
  </si>
  <si>
    <t>Y</t>
  </si>
  <si>
    <t>N</t>
  </si>
  <si>
    <t>2026-10-07_C_part2_counts.png</t>
  </si>
  <si>
    <t xml:space="preserve"> 2026-10-07_D_patient_record.png</t>
  </si>
  <si>
    <t>2026-10-07_D_identity_counts.png</t>
  </si>
  <si>
    <t>2026-10-07_B_02b_counts.png</t>
  </si>
  <si>
    <t>2026-10-08_C_raw_counts.png</t>
  </si>
  <si>
    <t>2026-10-08_D_lab_result_dq.png</t>
  </si>
  <si>
    <t>2026-10-08_E_dim_patient.png</t>
  </si>
  <si>
    <t>2026-10-08_F_dashboard_tool.png</t>
  </si>
  <si>
    <t xml:space="preserve"> 2026-10-09_E_fact_counts.png</t>
  </si>
  <si>
    <t>2026-10-09_D_vw_uc2.png</t>
  </si>
  <si>
    <t>2026-10-09_E_vw_uc1_uc3.png</t>
  </si>
  <si>
    <t xml:space="preserve"> 2026-10-10_D_vw_uc4.png</t>
  </si>
  <si>
    <t>2026-10-10_F_test_results.png</t>
  </si>
  <si>
    <t>2026-10-11_F_dashboards.png</t>
  </si>
  <si>
    <t>2026-10-11_BF_full_rerun.png</t>
  </si>
  <si>
    <t>C-1</t>
  </si>
  <si>
    <t>Not run</t>
  </si>
  <si>
    <t>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</si>
  <si>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>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</si>
  <si>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* FROM reporting.vw_uc1_care_gaps WHERE patient_id = 'GL-0001';</t>
  </si>
  <si>
    <t>SELECT message_id, observation_id, dq_status, unit_as_received,
         (unit_as_received = '') AS unit_is_empty_string,
         hba1c_mmol_mol, collected_date
  FROM cleansed.lab_result
  WHERE message_id IN ('MSG-0022','MSG-0025','MSG-0031','MSG-0032')
  ORDER BY message_id;</t>
  </si>
  <si>
    <t>MSG-0022 OBS-0022 REJECTED_UNIT unit '' unit_is_empty_string true hba1c NULL | MSG-0025 OBS-0025 FUTURE_DATE | 
    MSG-0031 OBS-0031 VALID | MSG-0032 OBS-0031 DUPLICATE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</si>
</sst>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 tint="0.1499984740745262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1" fillId="2" borderId="0" xfId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4" fontId="0" fillId="0" borderId="0" xfId="0" applyNumberFormat="1"/>
    <xf numFmtId="0" fontId="0" fillId="0" borderId="0" xfId="0" quotePrefix="1" applyAlignment="1">
      <alignment vertical="top" wrapText="1"/>
    </xf>
  </cellXfs>
  <cellStyles count="2">
    <cellStyle name="Neutral" xfId="1" builtinId="28"/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tabSelected="1" topLeftCell="A27" workbookViewId="0">
      <selection activeCell="D31" sqref="D31"/>
    </sheetView>
  </sheetViews>
  <sheetFormatPr baseColWidth="10" defaultRowHeight="16" x14ac:dyDescent="0.2"/>
  <cols>
    <col min="1" max="2" width="10.83203125" style="6"/>
    <col min="3" max="3" width="15" style="13" customWidth="1"/>
    <col min="4" max="4" width="48.83203125" style="4" customWidth="1"/>
    <col min="5" max="5" width="53.33203125" style="4" customWidth="1"/>
    <col min="6" max="6" width="121" style="4" customWidth="1"/>
  </cols>
  <sheetData>
    <row r="1" spans="1:8" s="1" customFormat="1" ht="17" x14ac:dyDescent="0.2">
      <c r="A1" s="5" t="s">
        <v>0</v>
      </c>
      <c r="B1" s="5" t="s">
        <v>1</v>
      </c>
      <c r="C1" s="12" t="s">
        <v>2</v>
      </c>
      <c r="D1" s="3" t="s">
        <v>3</v>
      </c>
      <c r="E1" s="3" t="s">
        <v>4</v>
      </c>
      <c r="F1" s="3" t="s">
        <v>204</v>
      </c>
      <c r="G1" s="3" t="s">
        <v>98</v>
      </c>
      <c r="H1" s="3" t="s">
        <v>218</v>
      </c>
    </row>
    <row r="2" spans="1:8" ht="51" x14ac:dyDescent="0.2">
      <c r="A2" s="6" t="s">
        <v>5</v>
      </c>
      <c r="B2" s="7" t="s">
        <v>34</v>
      </c>
      <c r="C2" s="13" t="s">
        <v>42</v>
      </c>
      <c r="D2" s="2" t="s">
        <v>65</v>
      </c>
      <c r="E2" s="4" t="s">
        <v>66</v>
      </c>
      <c r="F2" s="2" t="s">
        <v>183</v>
      </c>
      <c r="G2" t="s">
        <v>288</v>
      </c>
    </row>
    <row r="3" spans="1:8" ht="68" x14ac:dyDescent="0.2">
      <c r="A3" s="6" t="s">
        <v>6</v>
      </c>
      <c r="B3" s="7" t="s">
        <v>34</v>
      </c>
      <c r="C3" s="13" t="s">
        <v>42</v>
      </c>
      <c r="D3" s="2" t="s">
        <v>67</v>
      </c>
      <c r="E3" s="4" t="s">
        <v>68</v>
      </c>
      <c r="F3" s="2" t="s">
        <v>184</v>
      </c>
      <c r="G3" t="s">
        <v>288</v>
      </c>
    </row>
    <row r="4" spans="1:8" ht="68" x14ac:dyDescent="0.2">
      <c r="A4" s="6" t="s">
        <v>7</v>
      </c>
      <c r="B4" s="7" t="s">
        <v>34</v>
      </c>
      <c r="C4" s="13" t="s">
        <v>42</v>
      </c>
      <c r="D4" s="2" t="s">
        <v>69</v>
      </c>
      <c r="E4" s="4" t="s">
        <v>70</v>
      </c>
      <c r="F4" s="2" t="s">
        <v>185</v>
      </c>
      <c r="G4" t="s">
        <v>288</v>
      </c>
    </row>
    <row r="5" spans="1:8" ht="68" x14ac:dyDescent="0.2">
      <c r="A5" s="6" t="s">
        <v>8</v>
      </c>
      <c r="B5" s="7" t="s">
        <v>34</v>
      </c>
      <c r="C5" s="13" t="s">
        <v>43</v>
      </c>
      <c r="D5" s="2" t="s">
        <v>71</v>
      </c>
      <c r="E5" s="2" t="s">
        <v>186</v>
      </c>
      <c r="F5" s="2" t="s">
        <v>187</v>
      </c>
      <c r="G5" t="s">
        <v>288</v>
      </c>
    </row>
    <row r="6" spans="1:8" ht="238" x14ac:dyDescent="0.2">
      <c r="A6" s="6" t="s">
        <v>9</v>
      </c>
      <c r="B6" s="7" t="s">
        <v>34</v>
      </c>
      <c r="C6" s="13" t="s">
        <v>42</v>
      </c>
      <c r="D6" s="2" t="s">
        <v>199</v>
      </c>
      <c r="E6" s="4" t="s">
        <v>188</v>
      </c>
      <c r="F6" s="2" t="s">
        <v>189</v>
      </c>
      <c r="G6" t="s">
        <v>288</v>
      </c>
    </row>
    <row r="7" spans="1:8" ht="85" x14ac:dyDescent="0.2">
      <c r="A7" s="6" t="s">
        <v>101</v>
      </c>
      <c r="B7" s="7" t="s">
        <v>34</v>
      </c>
      <c r="C7" s="13" t="s">
        <v>42</v>
      </c>
      <c r="D7" s="2" t="s">
        <v>102</v>
      </c>
      <c r="E7" s="2" t="s">
        <v>103</v>
      </c>
      <c r="F7" s="2" t="s">
        <v>108</v>
      </c>
      <c r="G7" t="s">
        <v>288</v>
      </c>
    </row>
    <row r="8" spans="1:8" ht="85" x14ac:dyDescent="0.2">
      <c r="A8" s="6" t="s">
        <v>104</v>
      </c>
      <c r="B8" s="7" t="s">
        <v>34</v>
      </c>
      <c r="C8" s="13" t="s">
        <v>42</v>
      </c>
      <c r="D8" s="2" t="s">
        <v>105</v>
      </c>
      <c r="E8" s="2" t="s">
        <v>106</v>
      </c>
      <c r="F8" s="2" t="s">
        <v>107</v>
      </c>
      <c r="G8" t="s">
        <v>288</v>
      </c>
    </row>
    <row r="9" spans="1:8" ht="51" x14ac:dyDescent="0.2">
      <c r="A9" s="6" t="s">
        <v>10</v>
      </c>
      <c r="B9" s="7" t="s">
        <v>34</v>
      </c>
      <c r="C9" s="13" t="s">
        <v>42</v>
      </c>
      <c r="D9" s="2" t="s">
        <v>96</v>
      </c>
      <c r="E9" s="4" t="s">
        <v>72</v>
      </c>
      <c r="F9" s="2" t="s">
        <v>190</v>
      </c>
      <c r="G9" t="s">
        <v>288</v>
      </c>
    </row>
    <row r="10" spans="1:8" ht="34" x14ac:dyDescent="0.2">
      <c r="A10" s="6" t="s">
        <v>109</v>
      </c>
      <c r="B10" s="7" t="s">
        <v>34</v>
      </c>
      <c r="C10" s="13" t="s">
        <v>42</v>
      </c>
      <c r="D10" s="2" t="s">
        <v>110</v>
      </c>
      <c r="E10" s="4" t="s">
        <v>111</v>
      </c>
      <c r="F10" s="2" t="s">
        <v>112</v>
      </c>
      <c r="G10" t="s">
        <v>288</v>
      </c>
    </row>
    <row r="11" spans="1:8" ht="68" x14ac:dyDescent="0.2">
      <c r="A11" s="6" t="s">
        <v>113</v>
      </c>
      <c r="B11" s="7" t="s">
        <v>34</v>
      </c>
      <c r="C11" s="13" t="s">
        <v>43</v>
      </c>
      <c r="D11" s="2" t="s">
        <v>114</v>
      </c>
      <c r="E11" s="4" t="s">
        <v>115</v>
      </c>
      <c r="F11" s="2" t="s">
        <v>116</v>
      </c>
      <c r="G11" t="s">
        <v>288</v>
      </c>
    </row>
    <row r="12" spans="1:8" ht="68" x14ac:dyDescent="0.2">
      <c r="A12" s="6" t="s">
        <v>137</v>
      </c>
      <c r="B12" s="7" t="s">
        <v>34</v>
      </c>
      <c r="C12" s="13" t="s">
        <v>138</v>
      </c>
      <c r="D12" s="2" t="s">
        <v>139</v>
      </c>
      <c r="E12" s="4" t="s">
        <v>140</v>
      </c>
      <c r="F12" s="2" t="s">
        <v>141</v>
      </c>
      <c r="G12" t="s">
        <v>288</v>
      </c>
    </row>
    <row r="13" spans="1:8" ht="51" x14ac:dyDescent="0.2">
      <c r="A13" s="6" t="s">
        <v>11</v>
      </c>
      <c r="B13" s="8" t="s">
        <v>35</v>
      </c>
      <c r="C13" s="13" t="s">
        <v>43</v>
      </c>
      <c r="D13" s="2" t="s">
        <v>73</v>
      </c>
      <c r="E13" s="4" t="s">
        <v>74</v>
      </c>
      <c r="F13" s="4" t="s">
        <v>75</v>
      </c>
      <c r="G13" t="s">
        <v>288</v>
      </c>
    </row>
    <row r="14" spans="1:8" ht="34" x14ac:dyDescent="0.2">
      <c r="A14" s="6" t="s">
        <v>12</v>
      </c>
      <c r="B14" s="8" t="s">
        <v>35</v>
      </c>
      <c r="C14" s="13" t="s">
        <v>44</v>
      </c>
      <c r="D14" s="2" t="s">
        <v>76</v>
      </c>
      <c r="E14" s="4" t="s">
        <v>77</v>
      </c>
      <c r="F14" s="4" t="s">
        <v>78</v>
      </c>
      <c r="G14" t="s">
        <v>288</v>
      </c>
    </row>
    <row r="15" spans="1:8" ht="102" x14ac:dyDescent="0.2">
      <c r="A15" s="6" t="s">
        <v>13</v>
      </c>
      <c r="B15" s="8" t="s">
        <v>35</v>
      </c>
      <c r="C15" s="13" t="s">
        <v>44</v>
      </c>
      <c r="D15" s="2" t="s">
        <v>166</v>
      </c>
      <c r="E15" s="2" t="s">
        <v>293</v>
      </c>
      <c r="F15" s="2" t="s">
        <v>292</v>
      </c>
      <c r="G15" t="s">
        <v>288</v>
      </c>
    </row>
    <row r="16" spans="1:8" ht="85" x14ac:dyDescent="0.2">
      <c r="A16" s="6" t="s">
        <v>146</v>
      </c>
      <c r="B16" s="8" t="s">
        <v>35</v>
      </c>
      <c r="C16" s="13" t="s">
        <v>147</v>
      </c>
      <c r="D16" s="2" t="s">
        <v>148</v>
      </c>
      <c r="E16" s="2" t="s">
        <v>149</v>
      </c>
      <c r="F16" s="2" t="s">
        <v>155</v>
      </c>
      <c r="G16" t="s">
        <v>288</v>
      </c>
    </row>
    <row r="17" spans="1:7" ht="85" x14ac:dyDescent="0.2">
      <c r="A17" s="6" t="s">
        <v>150</v>
      </c>
      <c r="B17" s="8" t="s">
        <v>35</v>
      </c>
      <c r="C17" s="13" t="s">
        <v>151</v>
      </c>
      <c r="D17" s="2" t="s">
        <v>152</v>
      </c>
      <c r="E17" s="2" t="s">
        <v>153</v>
      </c>
      <c r="F17" s="2" t="s">
        <v>154</v>
      </c>
      <c r="G17" t="s">
        <v>288</v>
      </c>
    </row>
    <row r="18" spans="1:7" ht="34" x14ac:dyDescent="0.2">
      <c r="A18" s="6" t="s">
        <v>14</v>
      </c>
      <c r="B18" s="8" t="s">
        <v>35</v>
      </c>
      <c r="C18" s="13" t="s">
        <v>45</v>
      </c>
      <c r="D18" s="2" t="s">
        <v>53</v>
      </c>
      <c r="E18" s="4" t="s">
        <v>79</v>
      </c>
      <c r="F18" s="4" t="s">
        <v>80</v>
      </c>
      <c r="G18" t="s">
        <v>288</v>
      </c>
    </row>
    <row r="19" spans="1:7" ht="68" x14ac:dyDescent="0.2">
      <c r="A19" s="6" t="s">
        <v>156</v>
      </c>
      <c r="B19" s="8" t="s">
        <v>35</v>
      </c>
      <c r="C19" s="13" t="s">
        <v>157</v>
      </c>
      <c r="D19" s="2" t="s">
        <v>158</v>
      </c>
      <c r="E19" s="2" t="s">
        <v>159</v>
      </c>
      <c r="F19" s="2" t="s">
        <v>160</v>
      </c>
      <c r="G19" t="s">
        <v>288</v>
      </c>
    </row>
    <row r="20" spans="1:7" ht="51" x14ac:dyDescent="0.2">
      <c r="A20" s="6" t="s">
        <v>15</v>
      </c>
      <c r="B20" s="9" t="s">
        <v>36</v>
      </c>
      <c r="C20" s="13" t="s">
        <v>46</v>
      </c>
      <c r="D20" s="2" t="s">
        <v>54</v>
      </c>
      <c r="E20" s="4" t="s">
        <v>81</v>
      </c>
      <c r="F20" s="4" t="s">
        <v>82</v>
      </c>
      <c r="G20" t="s">
        <v>288</v>
      </c>
    </row>
    <row r="21" spans="1:7" ht="51" x14ac:dyDescent="0.2">
      <c r="A21" s="6" t="s">
        <v>16</v>
      </c>
      <c r="B21" s="9" t="s">
        <v>36</v>
      </c>
      <c r="C21" s="13" t="s">
        <v>43</v>
      </c>
      <c r="D21" s="2" t="s">
        <v>55</v>
      </c>
      <c r="E21" s="4" t="s">
        <v>83</v>
      </c>
      <c r="F21" s="4" t="s">
        <v>84</v>
      </c>
      <c r="G21" t="s">
        <v>288</v>
      </c>
    </row>
    <row r="22" spans="1:7" ht="68" x14ac:dyDescent="0.2">
      <c r="A22" s="6" t="s">
        <v>17</v>
      </c>
      <c r="B22" s="9" t="s">
        <v>36</v>
      </c>
      <c r="C22" s="13" t="s">
        <v>47</v>
      </c>
      <c r="D22" s="2" t="s">
        <v>174</v>
      </c>
      <c r="E22" s="4" t="s">
        <v>170</v>
      </c>
      <c r="F22" s="2" t="s">
        <v>171</v>
      </c>
      <c r="G22" t="s">
        <v>288</v>
      </c>
    </row>
    <row r="23" spans="1:7" ht="68" x14ac:dyDescent="0.2">
      <c r="A23" s="6" t="s">
        <v>18</v>
      </c>
      <c r="B23" s="9" t="s">
        <v>36</v>
      </c>
      <c r="C23" s="13" t="s">
        <v>172</v>
      </c>
      <c r="D23" s="2" t="s">
        <v>173</v>
      </c>
      <c r="E23" s="4" t="s">
        <v>175</v>
      </c>
      <c r="F23" s="2" t="s">
        <v>176</v>
      </c>
      <c r="G23" t="s">
        <v>288</v>
      </c>
    </row>
    <row r="24" spans="1:7" ht="51" x14ac:dyDescent="0.2">
      <c r="A24" s="6" t="s">
        <v>19</v>
      </c>
      <c r="B24" s="9" t="s">
        <v>36</v>
      </c>
      <c r="C24" s="13" t="s">
        <v>49</v>
      </c>
      <c r="D24" s="2" t="s">
        <v>177</v>
      </c>
      <c r="E24" s="4" t="s">
        <v>178</v>
      </c>
      <c r="F24" s="2" t="s">
        <v>179</v>
      </c>
      <c r="G24" t="s">
        <v>288</v>
      </c>
    </row>
    <row r="25" spans="1:7" ht="51" x14ac:dyDescent="0.2">
      <c r="A25" s="6" t="s">
        <v>20</v>
      </c>
      <c r="B25" s="9" t="s">
        <v>36</v>
      </c>
      <c r="C25" s="13" t="s">
        <v>50</v>
      </c>
      <c r="D25" s="2" t="s">
        <v>180</v>
      </c>
      <c r="E25" s="4" t="s">
        <v>181</v>
      </c>
      <c r="F25" s="2" t="s">
        <v>182</v>
      </c>
      <c r="G25" t="s">
        <v>288</v>
      </c>
    </row>
    <row r="26" spans="1:7" ht="68" x14ac:dyDescent="0.2">
      <c r="A26" s="6" t="s">
        <v>161</v>
      </c>
      <c r="B26" s="9" t="s">
        <v>36</v>
      </c>
      <c r="C26" s="13" t="s">
        <v>162</v>
      </c>
      <c r="D26" s="2" t="s">
        <v>163</v>
      </c>
      <c r="E26" s="4" t="s">
        <v>164</v>
      </c>
      <c r="F26" s="2" t="s">
        <v>165</v>
      </c>
      <c r="G26" t="s">
        <v>288</v>
      </c>
    </row>
    <row r="27" spans="1:7" ht="404" x14ac:dyDescent="0.2">
      <c r="A27" s="6" t="s">
        <v>21</v>
      </c>
      <c r="B27" s="9" t="s">
        <v>36</v>
      </c>
      <c r="C27" s="13" t="s">
        <v>43</v>
      </c>
      <c r="D27" s="2" t="s">
        <v>167</v>
      </c>
      <c r="E27" s="2" t="s">
        <v>168</v>
      </c>
      <c r="F27" s="2" t="s">
        <v>169</v>
      </c>
      <c r="G27" t="s">
        <v>288</v>
      </c>
    </row>
    <row r="28" spans="1:7" ht="68" x14ac:dyDescent="0.2">
      <c r="A28" s="6" t="s">
        <v>22</v>
      </c>
      <c r="B28" s="10" t="s">
        <v>37</v>
      </c>
      <c r="C28" s="13" t="s">
        <v>42</v>
      </c>
      <c r="D28" s="2" t="s">
        <v>56</v>
      </c>
      <c r="E28" s="4" t="s">
        <v>85</v>
      </c>
      <c r="F28" s="2" t="s">
        <v>191</v>
      </c>
      <c r="G28" t="s">
        <v>288</v>
      </c>
    </row>
    <row r="29" spans="1:7" ht="68" x14ac:dyDescent="0.2">
      <c r="A29" s="6" t="s">
        <v>23</v>
      </c>
      <c r="B29" s="10" t="s">
        <v>37</v>
      </c>
      <c r="C29" s="13" t="s">
        <v>119</v>
      </c>
      <c r="D29" s="2" t="s">
        <v>120</v>
      </c>
      <c r="E29" s="2" t="s">
        <v>121</v>
      </c>
      <c r="F29" s="2" t="s">
        <v>122</v>
      </c>
      <c r="G29" t="s">
        <v>288</v>
      </c>
    </row>
    <row r="30" spans="1:7" ht="34" x14ac:dyDescent="0.2">
      <c r="A30" s="6" t="s">
        <v>117</v>
      </c>
      <c r="B30" s="10" t="s">
        <v>37</v>
      </c>
      <c r="C30" s="13" t="s">
        <v>47</v>
      </c>
      <c r="D30" s="2" t="s">
        <v>57</v>
      </c>
      <c r="E30" s="4" t="s">
        <v>86</v>
      </c>
      <c r="F30" s="4" t="s">
        <v>291</v>
      </c>
      <c r="G30" t="s">
        <v>288</v>
      </c>
    </row>
    <row r="31" spans="1:7" ht="34" x14ac:dyDescent="0.2">
      <c r="A31" s="6" t="s">
        <v>118</v>
      </c>
      <c r="B31" s="10" t="s">
        <v>37</v>
      </c>
      <c r="C31" s="13" t="s">
        <v>197</v>
      </c>
      <c r="D31" s="2" t="s">
        <v>58</v>
      </c>
      <c r="E31" s="4" t="s">
        <v>196</v>
      </c>
      <c r="F31" s="4" t="s">
        <v>198</v>
      </c>
      <c r="G31" t="s">
        <v>288</v>
      </c>
    </row>
    <row r="32" spans="1:7" ht="51" x14ac:dyDescent="0.2">
      <c r="A32" s="6" t="s">
        <v>24</v>
      </c>
      <c r="B32" s="10" t="s">
        <v>38</v>
      </c>
      <c r="C32" s="13" t="s">
        <v>42</v>
      </c>
      <c r="D32" s="2" t="s">
        <v>59</v>
      </c>
      <c r="E32" s="4" t="s">
        <v>87</v>
      </c>
      <c r="F32" s="4" t="s">
        <v>88</v>
      </c>
      <c r="G32" t="s">
        <v>288</v>
      </c>
    </row>
    <row r="33" spans="1:7" ht="85" x14ac:dyDescent="0.2">
      <c r="A33" s="6" t="s">
        <v>25</v>
      </c>
      <c r="B33" s="10" t="s">
        <v>38</v>
      </c>
      <c r="C33" s="13" t="s">
        <v>124</v>
      </c>
      <c r="D33" s="2" t="s">
        <v>125</v>
      </c>
      <c r="E33" s="2" t="s">
        <v>126</v>
      </c>
      <c r="F33" s="2" t="s">
        <v>127</v>
      </c>
      <c r="G33" t="s">
        <v>288</v>
      </c>
    </row>
    <row r="34" spans="1:7" ht="51" x14ac:dyDescent="0.2">
      <c r="A34" s="6" t="s">
        <v>26</v>
      </c>
      <c r="B34" s="10" t="s">
        <v>38</v>
      </c>
      <c r="C34" s="13" t="s">
        <v>48</v>
      </c>
      <c r="D34" s="2" t="s">
        <v>60</v>
      </c>
      <c r="E34" s="4" t="s">
        <v>89</v>
      </c>
      <c r="F34" s="4" t="s">
        <v>99</v>
      </c>
      <c r="G34" t="s">
        <v>288</v>
      </c>
    </row>
    <row r="35" spans="1:7" ht="68" x14ac:dyDescent="0.2">
      <c r="A35" s="6" t="s">
        <v>123</v>
      </c>
      <c r="B35" s="10" t="s">
        <v>38</v>
      </c>
      <c r="C35" s="13" t="s">
        <v>51</v>
      </c>
      <c r="D35" s="2" t="s">
        <v>61</v>
      </c>
      <c r="E35" s="4" t="s">
        <v>192</v>
      </c>
      <c r="F35" s="2" t="s">
        <v>193</v>
      </c>
      <c r="G35" t="s">
        <v>288</v>
      </c>
    </row>
    <row r="36" spans="1:7" ht="51" x14ac:dyDescent="0.2">
      <c r="A36" s="6" t="s">
        <v>27</v>
      </c>
      <c r="B36" s="10" t="s">
        <v>39</v>
      </c>
      <c r="C36" s="13" t="s">
        <v>42</v>
      </c>
      <c r="D36" s="2" t="s">
        <v>62</v>
      </c>
      <c r="E36" s="4" t="s">
        <v>90</v>
      </c>
      <c r="F36" s="4" t="s">
        <v>91</v>
      </c>
      <c r="G36" t="s">
        <v>288</v>
      </c>
    </row>
    <row r="37" spans="1:7" ht="102" x14ac:dyDescent="0.2">
      <c r="A37" s="6" t="s">
        <v>28</v>
      </c>
      <c r="B37" s="10" t="s">
        <v>39</v>
      </c>
      <c r="C37" s="13" t="s">
        <v>130</v>
      </c>
      <c r="D37" s="2" t="s">
        <v>131</v>
      </c>
      <c r="E37" s="2" t="s">
        <v>132</v>
      </c>
      <c r="F37" s="2" t="s">
        <v>133</v>
      </c>
      <c r="G37" t="s">
        <v>288</v>
      </c>
    </row>
    <row r="38" spans="1:7" ht="51" x14ac:dyDescent="0.2">
      <c r="A38" s="6" t="s">
        <v>128</v>
      </c>
      <c r="B38" s="10" t="s">
        <v>39</v>
      </c>
      <c r="C38" s="13" t="s">
        <v>47</v>
      </c>
      <c r="D38" s="2" t="s">
        <v>63</v>
      </c>
      <c r="E38" s="4" t="s">
        <v>92</v>
      </c>
      <c r="F38" s="4" t="s">
        <v>100</v>
      </c>
      <c r="G38" t="s">
        <v>288</v>
      </c>
    </row>
    <row r="39" spans="1:7" ht="85" x14ac:dyDescent="0.2">
      <c r="A39" s="6" t="s">
        <v>29</v>
      </c>
      <c r="B39" s="10" t="s">
        <v>39</v>
      </c>
      <c r="C39" s="13" t="s">
        <v>200</v>
      </c>
      <c r="D39" s="2" t="s">
        <v>201</v>
      </c>
      <c r="E39" s="4" t="s">
        <v>202</v>
      </c>
      <c r="F39" s="2" t="s">
        <v>203</v>
      </c>
      <c r="G39" t="s">
        <v>288</v>
      </c>
    </row>
    <row r="40" spans="1:7" ht="51" x14ac:dyDescent="0.2">
      <c r="A40" s="6" t="s">
        <v>129</v>
      </c>
      <c r="B40" s="10" t="s">
        <v>39</v>
      </c>
      <c r="C40" s="13" t="s">
        <v>142</v>
      </c>
      <c r="D40" s="2" t="s">
        <v>143</v>
      </c>
      <c r="E40" s="4" t="s">
        <v>144</v>
      </c>
      <c r="F40" s="2" t="s">
        <v>145</v>
      </c>
      <c r="G40" t="s">
        <v>288</v>
      </c>
    </row>
    <row r="41" spans="1:7" ht="51" x14ac:dyDescent="0.2">
      <c r="A41" s="6" t="s">
        <v>30</v>
      </c>
      <c r="B41" s="10" t="s">
        <v>40</v>
      </c>
      <c r="C41" s="13" t="s">
        <v>97</v>
      </c>
      <c r="D41" s="2" t="s">
        <v>134</v>
      </c>
      <c r="E41" s="2" t="s">
        <v>135</v>
      </c>
      <c r="F41" s="2" t="s">
        <v>136</v>
      </c>
      <c r="G41" t="s">
        <v>288</v>
      </c>
    </row>
    <row r="42" spans="1:7" ht="51" x14ac:dyDescent="0.2">
      <c r="A42" s="6" t="s">
        <v>31</v>
      </c>
      <c r="B42" s="10" t="s">
        <v>40</v>
      </c>
      <c r="C42" s="13" t="s">
        <v>52</v>
      </c>
      <c r="D42" s="2" t="s">
        <v>64</v>
      </c>
      <c r="E42" s="4" t="s">
        <v>196</v>
      </c>
      <c r="F42" s="2" t="s">
        <v>195</v>
      </c>
      <c r="G42" t="s">
        <v>288</v>
      </c>
    </row>
    <row r="43" spans="1:7" ht="102" x14ac:dyDescent="0.2">
      <c r="A43" s="6" t="s">
        <v>32</v>
      </c>
      <c r="B43" s="11" t="s">
        <v>41</v>
      </c>
      <c r="C43" s="13" t="s">
        <v>42</v>
      </c>
      <c r="D43" s="2" t="s">
        <v>93</v>
      </c>
      <c r="E43" s="4" t="s">
        <v>94</v>
      </c>
      <c r="F43" s="21" t="s">
        <v>289</v>
      </c>
      <c r="G43" t="s">
        <v>288</v>
      </c>
    </row>
    <row r="44" spans="1:7" ht="85" x14ac:dyDescent="0.2">
      <c r="A44" s="6" t="s">
        <v>33</v>
      </c>
      <c r="B44" s="11" t="s">
        <v>41</v>
      </c>
      <c r="C44" s="13" t="s">
        <v>42</v>
      </c>
      <c r="D44" s="2" t="s">
        <v>95</v>
      </c>
      <c r="E44" s="4" t="s">
        <v>194</v>
      </c>
      <c r="F44" s="21" t="s">
        <v>290</v>
      </c>
      <c r="G44" t="s">
        <v>288</v>
      </c>
    </row>
    <row r="45" spans="1:7" x14ac:dyDescent="0.2">
      <c r="D45" s="2"/>
    </row>
    <row r="46" spans="1:7" x14ac:dyDescent="0.2">
      <c r="D46" s="2"/>
    </row>
    <row r="47" spans="1:7" x14ac:dyDescent="0.2">
      <c r="D47" s="2"/>
    </row>
    <row r="49" spans="4:4" x14ac:dyDescent="0.2">
      <c r="D49" s="2"/>
    </row>
  </sheetData>
  <phoneticPr fontId="2" type="noConversion"/>
  <conditionalFormatting sqref="G2:G1048576">
    <cfRule type="cellIs" dxfId="9" priority="6" operator="equal">
      <formula>"Blocked"</formula>
    </cfRule>
    <cfRule type="cellIs" dxfId="8" priority="7" operator="equal">
      <formula>"Fail"</formula>
    </cfRule>
    <cfRule type="cellIs" dxfId="7" priority="8" operator="equal">
      <formula>"Pass"</formula>
    </cfRule>
  </conditionalFormatting>
  <conditionalFormatting sqref="G2:G7">
    <cfRule type="cellIs" dxfId="4" priority="5" operator="equal">
      <formula>"Not run"</formula>
    </cfRule>
  </conditionalFormatting>
  <conditionalFormatting sqref="G8">
    <cfRule type="cellIs" dxfId="3" priority="4" operator="equal">
      <formula>"Not run"</formula>
    </cfRule>
  </conditionalFormatting>
  <conditionalFormatting sqref="G9">
    <cfRule type="cellIs" dxfId="2" priority="3" operator="equal">
      <formula>"Not run"</formula>
    </cfRule>
  </conditionalFormatting>
  <conditionalFormatting sqref="G11:G44">
    <cfRule type="cellIs" dxfId="1" priority="2" operator="equal">
      <formula>"Not run"</formula>
    </cfRule>
  </conditionalFormatting>
  <conditionalFormatting sqref="G10">
    <cfRule type="cellIs" dxfId="0" priority="1" operator="equal">
      <formula>"Not run"</formula>
    </cfRule>
  </conditionalFormatting>
  <dataValidations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:L26"/>
  <sheetViews>
    <sheetView workbookViewId="0">
      <selection activeCell="G17" sqref="G17"/>
    </sheetView>
  </sheetViews>
  <sheetFormatPr baseColWidth="10" defaultRowHeight="16" x14ac:dyDescent="0.2"/>
  <cols>
    <col min="1" max="1" width="10.5" bestFit="1" customWidth="1"/>
    <col min="3" max="3" width="5.1640625" bestFit="1" customWidth="1"/>
    <col min="4" max="4" width="29.1640625" bestFit="1" customWidth="1"/>
    <col min="5" max="5" width="41.5" style="16" customWidth="1"/>
    <col min="7" max="7" width="17.33203125" bestFit="1" customWidth="1"/>
  </cols>
  <sheetData>
    <row r="1" spans="1:12" x14ac:dyDescent="0.2">
      <c r="A1" s="14" t="s">
        <v>213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x14ac:dyDescent="0.2">
      <c r="A2" s="15" t="s">
        <v>216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x14ac:dyDescent="0.2">
      <c r="A3" s="15" t="s">
        <v>214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x14ac:dyDescent="0.2">
      <c r="A4" s="15" t="s">
        <v>215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x14ac:dyDescent="0.2">
      <c r="A5" s="15" t="s">
        <v>217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9" spans="1:12" ht="17" x14ac:dyDescent="0.2">
      <c r="A9" s="18" t="s">
        <v>205</v>
      </c>
      <c r="B9" s="18" t="s">
        <v>206</v>
      </c>
      <c r="C9" s="18" t="s">
        <v>207</v>
      </c>
      <c r="D9" s="18" t="s">
        <v>208</v>
      </c>
      <c r="E9" s="19" t="s">
        <v>209</v>
      </c>
      <c r="F9" s="18" t="s">
        <v>210</v>
      </c>
      <c r="G9" s="18" t="s">
        <v>211</v>
      </c>
      <c r="H9" s="18" t="s">
        <v>212</v>
      </c>
    </row>
    <row r="10" spans="1:12" ht="34" x14ac:dyDescent="0.2">
      <c r="A10" s="16" t="s">
        <v>220</v>
      </c>
      <c r="B10" s="16" t="s">
        <v>219</v>
      </c>
      <c r="C10" t="s">
        <v>287</v>
      </c>
      <c r="D10" t="s">
        <v>240</v>
      </c>
      <c r="E10" s="16" t="s">
        <v>253</v>
      </c>
      <c r="F10" s="16" t="s">
        <v>270</v>
      </c>
      <c r="G10" s="20">
        <v>46303</v>
      </c>
    </row>
    <row r="11" spans="1:12" ht="34" x14ac:dyDescent="0.2">
      <c r="A11" s="16" t="s">
        <v>220</v>
      </c>
      <c r="B11" s="16" t="s">
        <v>221</v>
      </c>
      <c r="C11" t="s">
        <v>227</v>
      </c>
      <c r="D11" t="s">
        <v>252</v>
      </c>
      <c r="E11" s="16" t="s">
        <v>254</v>
      </c>
      <c r="F11" s="16" t="s">
        <v>270</v>
      </c>
      <c r="G11" s="20">
        <v>46303</v>
      </c>
    </row>
    <row r="12" spans="1:12" ht="34" x14ac:dyDescent="0.2">
      <c r="A12" s="16" t="s">
        <v>241</v>
      </c>
      <c r="B12" s="16" t="s">
        <v>219</v>
      </c>
      <c r="C12" t="s">
        <v>226</v>
      </c>
      <c r="D12" t="s">
        <v>272</v>
      </c>
      <c r="E12" s="16" t="s">
        <v>255</v>
      </c>
      <c r="F12" s="16" t="s">
        <v>270</v>
      </c>
      <c r="G12" s="20">
        <v>46303</v>
      </c>
    </row>
    <row r="13" spans="1:12" ht="34" x14ac:dyDescent="0.2">
      <c r="A13" s="16" t="s">
        <v>241</v>
      </c>
      <c r="B13" s="16" t="s">
        <v>222</v>
      </c>
      <c r="C13" t="s">
        <v>228</v>
      </c>
      <c r="D13" t="s">
        <v>273</v>
      </c>
      <c r="E13" s="16" t="s">
        <v>256</v>
      </c>
      <c r="F13" s="16" t="s">
        <v>271</v>
      </c>
      <c r="G13" s="20">
        <v>46302</v>
      </c>
    </row>
    <row r="14" spans="1:12" ht="34" x14ac:dyDescent="0.2">
      <c r="A14" s="16" t="s">
        <v>241</v>
      </c>
      <c r="B14" s="16" t="s">
        <v>222</v>
      </c>
      <c r="C14" t="s">
        <v>229</v>
      </c>
      <c r="D14" t="s">
        <v>274</v>
      </c>
      <c r="E14" s="16" t="s">
        <v>257</v>
      </c>
      <c r="F14" s="16" t="s">
        <v>271</v>
      </c>
      <c r="G14" s="20">
        <v>46302</v>
      </c>
    </row>
    <row r="15" spans="1:12" ht="34" x14ac:dyDescent="0.2">
      <c r="A15" s="16" t="s">
        <v>242</v>
      </c>
      <c r="B15" s="16" t="s">
        <v>221</v>
      </c>
      <c r="C15" t="s">
        <v>230</v>
      </c>
      <c r="D15" t="s">
        <v>275</v>
      </c>
      <c r="E15" s="16" t="s">
        <v>258</v>
      </c>
      <c r="F15" s="16" t="s">
        <v>270</v>
      </c>
      <c r="G15" s="20">
        <v>46303</v>
      </c>
    </row>
    <row r="16" spans="1:12" ht="34" x14ac:dyDescent="0.2">
      <c r="A16" s="16" t="s">
        <v>243</v>
      </c>
      <c r="B16" s="16" t="s">
        <v>219</v>
      </c>
      <c r="C16" t="s">
        <v>231</v>
      </c>
      <c r="D16" t="s">
        <v>276</v>
      </c>
      <c r="E16" s="16" t="s">
        <v>259</v>
      </c>
      <c r="F16" s="16" t="s">
        <v>270</v>
      </c>
      <c r="G16" s="20">
        <v>46303</v>
      </c>
    </row>
    <row r="17" spans="1:5" ht="68" x14ac:dyDescent="0.2">
      <c r="A17" s="16" t="s">
        <v>244</v>
      </c>
      <c r="B17" s="16" t="s">
        <v>222</v>
      </c>
      <c r="C17" t="s">
        <v>232</v>
      </c>
      <c r="D17" t="s">
        <v>277</v>
      </c>
      <c r="E17" s="16" t="s">
        <v>260</v>
      </c>
    </row>
    <row r="18" spans="1:5" ht="51" x14ac:dyDescent="0.2">
      <c r="A18" s="16" t="s">
        <v>244</v>
      </c>
      <c r="B18" s="16" t="s">
        <v>223</v>
      </c>
      <c r="C18" t="s">
        <v>233</v>
      </c>
      <c r="D18" t="s">
        <v>278</v>
      </c>
      <c r="E18" s="16" t="s">
        <v>261</v>
      </c>
    </row>
    <row r="19" spans="1:5" ht="34" x14ac:dyDescent="0.2">
      <c r="A19" s="16" t="s">
        <v>244</v>
      </c>
      <c r="B19" s="16" t="s">
        <v>224</v>
      </c>
      <c r="C19" t="s">
        <v>234</v>
      </c>
      <c r="D19" t="s">
        <v>279</v>
      </c>
      <c r="E19" s="16" t="s">
        <v>262</v>
      </c>
    </row>
    <row r="20" spans="1:5" ht="34" x14ac:dyDescent="0.2">
      <c r="A20" s="16" t="s">
        <v>245</v>
      </c>
      <c r="B20" s="16" t="s">
        <v>223</v>
      </c>
      <c r="C20" t="s">
        <v>235</v>
      </c>
      <c r="D20" t="s">
        <v>280</v>
      </c>
      <c r="E20" s="16" t="s">
        <v>263</v>
      </c>
    </row>
    <row r="21" spans="1:5" ht="34" x14ac:dyDescent="0.2">
      <c r="A21" s="16" t="s">
        <v>246</v>
      </c>
      <c r="B21" s="16" t="s">
        <v>222</v>
      </c>
      <c r="C21" t="s">
        <v>236</v>
      </c>
      <c r="D21" t="s">
        <v>281</v>
      </c>
      <c r="E21" s="16" t="s">
        <v>264</v>
      </c>
    </row>
    <row r="22" spans="1:5" ht="34" x14ac:dyDescent="0.2">
      <c r="A22" s="16" t="s">
        <v>248</v>
      </c>
      <c r="B22" s="16" t="s">
        <v>223</v>
      </c>
      <c r="C22" t="s">
        <v>237</v>
      </c>
      <c r="D22" t="s">
        <v>282</v>
      </c>
      <c r="E22" s="16" t="s">
        <v>265</v>
      </c>
    </row>
    <row r="23" spans="1:5" ht="51" x14ac:dyDescent="0.2">
      <c r="A23" s="17" t="s">
        <v>247</v>
      </c>
      <c r="B23" s="16" t="s">
        <v>222</v>
      </c>
      <c r="C23" t="s">
        <v>236</v>
      </c>
      <c r="D23" t="s">
        <v>283</v>
      </c>
      <c r="E23" s="16" t="s">
        <v>266</v>
      </c>
    </row>
    <row r="24" spans="1:5" ht="34" x14ac:dyDescent="0.2">
      <c r="A24" s="17" t="s">
        <v>251</v>
      </c>
      <c r="B24" s="16" t="s">
        <v>224</v>
      </c>
      <c r="C24" t="s">
        <v>238</v>
      </c>
      <c r="D24" t="s">
        <v>284</v>
      </c>
      <c r="E24" s="16" t="s">
        <v>267</v>
      </c>
    </row>
    <row r="25" spans="1:5" ht="34" x14ac:dyDescent="0.2">
      <c r="A25" s="16" t="s">
        <v>249</v>
      </c>
      <c r="B25" s="16" t="s">
        <v>224</v>
      </c>
      <c r="C25" t="s">
        <v>234</v>
      </c>
      <c r="D25" t="s">
        <v>285</v>
      </c>
      <c r="E25" s="16" t="s">
        <v>268</v>
      </c>
    </row>
    <row r="26" spans="1:5" ht="34" x14ac:dyDescent="0.2">
      <c r="A26" s="16" t="s">
        <v>250</v>
      </c>
      <c r="B26" s="16" t="s">
        <v>225</v>
      </c>
      <c r="C26" t="s">
        <v>239</v>
      </c>
      <c r="D26" t="s">
        <v>286</v>
      </c>
      <c r="E26" s="16" t="s">
        <v>269</v>
      </c>
    </row>
  </sheetData>
  <mergeCells count="5">
    <mergeCell ref="A2:L2"/>
    <mergeCell ref="A3:L3"/>
    <mergeCell ref="A4:L4"/>
    <mergeCell ref="A5:L5"/>
    <mergeCell ref="A1:L1"/>
  </mergeCells>
  <conditionalFormatting sqref="F10:F26">
    <cfRule type="cellIs" dxfId="6" priority="1" operator="equal">
      <formula>"N"</formula>
    </cfRule>
    <cfRule type="cellIs" dxfId="5" priority="2" operator="equal">
      <formula>"Y"</formula>
    </cfRule>
  </conditionalFormatting>
  <dataValidations count="1">
    <dataValidation type="list" allowBlank="1" showInputMessage="1" showErrorMessage="1" sqref="F10:F1048576 F1:F2" xr:uid="{47910C4E-0924-4841-859B-753E646BCBEE}">
      <formula1>"Y, 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2026-10-08T03:27:38Z</dcterms:modified>
</cp:coreProperties>
</file>