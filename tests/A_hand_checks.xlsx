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z/Documents/Advanced Database/A2/"/>
    </mc:Choice>
  </mc:AlternateContent>
  <xr:revisionPtr revIDLastSave="0" documentId="13_ncr:1_{F5F48F10-E4AA-BE46-B860-FC174E20D979}" xr6:coauthVersionLast="47" xr6:coauthVersionMax="47" xr10:uidLastSave="{00000000-0000-0000-0000-000000000000}"/>
  <bookViews>
    <workbookView xWindow="0" yWindow="600" windowWidth="36120" windowHeight="28060" xr2:uid="{BC5D304D-9C41-344E-82BB-3BE4A64A2B2A}"/>
  </bookViews>
  <sheets>
    <sheet name="Rules" sheetId="1" r:id="rId1"/>
    <sheet name="Summary" sheetId="2" r:id="rId2"/>
    <sheet name="P01" sheetId="3" r:id="rId3"/>
    <sheet name="P02" sheetId="4" r:id="rId4"/>
    <sheet name="P03" sheetId="5" r:id="rId5"/>
    <sheet name="P09" sheetId="6" r:id="rId6"/>
    <sheet name="P13" sheetId="7" r:id="rId7"/>
    <sheet name="P17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E7" i="2"/>
  <c r="H6" i="2"/>
  <c r="H5" i="2"/>
  <c r="E5" i="2"/>
  <c r="E4" i="2"/>
  <c r="H3" i="2"/>
  <c r="E3" i="2"/>
  <c r="H2" i="2"/>
  <c r="E2" i="2"/>
</calcChain>
</file>

<file path=xl/sharedStrings.xml><?xml version="1.0" encoding="utf-8"?>
<sst xmlns="http://schemas.openxmlformats.org/spreadsheetml/2006/main" count="676" uniqueCount="299">
  <si>
    <t>UC4: (a) a VALID result with no delivery, reported on or before 2026-08-25; (b) same patient and drug class supplied by two pharmacies in overlapping periods.</t>
    <phoneticPr fontId="1" type="noConversion"/>
  </si>
  <si>
    <t>Persona</t>
    <phoneticPr fontId="1" type="noConversion"/>
  </si>
  <si>
    <t>patient_id</t>
    <phoneticPr fontId="1" type="noConversion"/>
  </si>
  <si>
    <t>Name</t>
    <phoneticPr fontId="1" type="noConversion"/>
  </si>
  <si>
    <t>UC1 status</t>
    <phoneticPr fontId="1" type="noConversion"/>
  </si>
  <si>
    <t>UC2 PDC</t>
    <phoneticPr fontId="1" type="noConversion"/>
  </si>
  <si>
    <t>UC2 status</t>
    <phoneticPr fontId="1" type="noConversion"/>
  </si>
  <si>
    <t>UC3 change</t>
    <phoneticPr fontId="1" type="noConversion"/>
  </si>
  <si>
    <t>UC3 status</t>
    <phoneticPr fontId="1" type="noConversion"/>
  </si>
  <si>
    <t>rising despite adherence</t>
    <phoneticPr fontId="1" type="noConversion"/>
  </si>
  <si>
    <t>UC4 listed?</t>
    <phoneticPr fontId="1" type="noConversion"/>
  </si>
  <si>
    <t>Matches test plan? (Minha)</t>
    <phoneticPr fontId="1" type="noConversion"/>
  </si>
  <si>
    <t>P01</t>
    <phoneticPr fontId="1" type="noConversion"/>
  </si>
  <si>
    <t>GL-0001</t>
    <phoneticPr fontId="1" type="noConversion"/>
  </si>
  <si>
    <t>Thomas Smith</t>
    <phoneticPr fontId="1" type="noConversion"/>
  </si>
  <si>
    <t>HIGH_NO_REVIEW</t>
    <phoneticPr fontId="1" type="noConversion"/>
  </si>
  <si>
    <t>ADHERENT</t>
    <phoneticPr fontId="1" type="noConversion"/>
  </si>
  <si>
    <t>RISING</t>
    <phoneticPr fontId="1" type="noConversion"/>
  </si>
  <si>
    <t>TRUE</t>
    <phoneticPr fontId="1" type="noConversion"/>
  </si>
  <si>
    <t>No</t>
    <phoneticPr fontId="1" type="noConversion"/>
  </si>
  <si>
    <t>P02</t>
    <phoneticPr fontId="1" type="noConversion"/>
  </si>
  <si>
    <t>GL-0002</t>
    <phoneticPr fontId="1" type="noConversion"/>
  </si>
  <si>
    <t>Mei Chen</t>
    <phoneticPr fontId="1" type="noConversion"/>
  </si>
  <si>
    <t>HIGH_REVIEW_PENDING</t>
    <phoneticPr fontId="1" type="noConversion"/>
  </si>
  <si>
    <t>NON_ADHERENT</t>
    <phoneticPr fontId="1" type="noConversion"/>
  </si>
  <si>
    <t>STABLE</t>
    <phoneticPr fontId="1" type="noConversion"/>
  </si>
  <si>
    <t>FALSE</t>
    <phoneticPr fontId="1" type="noConversion"/>
  </si>
  <si>
    <t>P03</t>
    <phoneticPr fontId="1" type="noConversion"/>
  </si>
  <si>
    <t>GL-0003</t>
    <phoneticPr fontId="1" type="noConversion"/>
  </si>
  <si>
    <t>Ahmed Khan</t>
    <phoneticPr fontId="1" type="noConversion"/>
  </si>
  <si>
    <t>OVERDUE_TEST</t>
    <phoneticPr fontId="1" type="noConversion"/>
  </si>
  <si>
    <t>51.0 (one result)</t>
    <phoneticPr fontId="1" type="noConversion"/>
  </si>
  <si>
    <t>n/a</t>
    <phoneticPr fontId="1" type="noConversion"/>
  </si>
  <si>
    <t>INSUFFICIENT_HISTORY</t>
    <phoneticPr fontId="1" type="noConversion"/>
  </si>
  <si>
    <t>P09</t>
    <phoneticPr fontId="1" type="noConversion"/>
  </si>
  <si>
    <t>GL-0009</t>
    <phoneticPr fontId="1" type="noConversion"/>
  </si>
  <si>
    <t>Grace Taylor</t>
    <phoneticPr fontId="1" type="noConversion"/>
  </si>
  <si>
    <t>Not listed</t>
    <phoneticPr fontId="1" type="noConversion"/>
  </si>
  <si>
    <t>P13</t>
    <phoneticPr fontId="1" type="noConversion"/>
  </si>
  <si>
    <t>GL-0013</t>
    <phoneticPr fontId="1" type="noConversion"/>
  </si>
  <si>
    <t>Chloe White</t>
    <phoneticPr fontId="1" type="noConversion"/>
  </si>
  <si>
    <t>Not assessed (no dispenses)</t>
    <phoneticPr fontId="1" type="noConversion"/>
  </si>
  <si>
    <t>P17</t>
    <phoneticPr fontId="1" type="noConversion"/>
  </si>
  <si>
    <t>GL-0016</t>
    <phoneticPr fontId="1" type="noConversion"/>
  </si>
  <si>
    <t>Zoe Clark</t>
    <phoneticPr fontId="1" type="noConversion"/>
  </si>
  <si>
    <t>HbA1c results (Appendix B.4)</t>
    <phoneticPr fontId="1" type="noConversion"/>
  </si>
  <si>
    <t>message</t>
    <phoneticPr fontId="1" type="noConversion"/>
  </si>
  <si>
    <t>observation</t>
    <phoneticPr fontId="1" type="noConversion"/>
  </si>
  <si>
    <t>collected</t>
    <phoneticPr fontId="1" type="noConversion"/>
  </si>
  <si>
    <t>reported</t>
    <phoneticPr fontId="1" type="noConversion"/>
  </si>
  <si>
    <t>value</t>
    <phoneticPr fontId="1" type="noConversion"/>
  </si>
  <si>
    <t>unit</t>
    <phoneticPr fontId="1" type="noConversion"/>
  </si>
  <si>
    <t>dq_status</t>
    <phoneticPr fontId="1" type="noConversion"/>
  </si>
  <si>
    <t>delivered</t>
    <phoneticPr fontId="1" type="noConversion"/>
  </si>
  <si>
    <t>MSG-0001</t>
    <phoneticPr fontId="1" type="noConversion"/>
  </si>
  <si>
    <t>OBS-0001</t>
    <phoneticPr fontId="1" type="noConversion"/>
  </si>
  <si>
    <t>mmol/mol</t>
    <phoneticPr fontId="1" type="noConversion"/>
  </si>
  <si>
    <t>VALID</t>
    <phoneticPr fontId="1" type="noConversion"/>
  </si>
  <si>
    <t>MSG-0002</t>
    <phoneticPr fontId="1" type="noConversion"/>
  </si>
  <si>
    <t>OBS-0002</t>
    <phoneticPr fontId="1" type="noConversion"/>
  </si>
  <si>
    <t>MSG-0003</t>
    <phoneticPr fontId="1" type="noConversion"/>
  </si>
  <si>
    <t>OBS-0003</t>
    <phoneticPr fontId="1" type="noConversion"/>
  </si>
  <si>
    <t>GP visits (Appendix B.3)</t>
    <phoneticPr fontId="1" type="noConversion"/>
  </si>
  <si>
    <t>encounter</t>
    <phoneticPr fontId="1" type="noConversion"/>
  </si>
  <si>
    <t>date</t>
    <phoneticPr fontId="1" type="noConversion"/>
  </si>
  <si>
    <t>type</t>
    <phoneticPr fontId="1" type="noConversion"/>
  </si>
  <si>
    <t>med review</t>
    <phoneticPr fontId="1" type="noConversion"/>
  </si>
  <si>
    <t>care plan</t>
    <phoneticPr fontId="1" type="noConversion"/>
  </si>
  <si>
    <t>E0001</t>
    <phoneticPr fontId="1" type="noConversion"/>
  </si>
  <si>
    <t>STANDARD</t>
    <phoneticPr fontId="1" type="noConversion"/>
  </si>
  <si>
    <t>no</t>
    <phoneticPr fontId="1" type="noConversion"/>
  </si>
  <si>
    <t>E0002</t>
    <phoneticPr fontId="1" type="noConversion"/>
  </si>
  <si>
    <t>CARE_PLAN</t>
    <phoneticPr fontId="1" type="noConversion"/>
  </si>
  <si>
    <t>yes</t>
    <phoneticPr fontId="1" type="noConversion"/>
  </si>
  <si>
    <t>E0003</t>
    <phoneticPr fontId="1" type="noConversion"/>
  </si>
  <si>
    <t>Dispenses (Appendix B.5)</t>
    <phoneticPr fontId="1" type="noConversion"/>
  </si>
  <si>
    <t>dispense</t>
    <phoneticPr fontId="1" type="noConversion"/>
  </si>
  <si>
    <t>days</t>
    <phoneticPr fontId="1" type="noConversion"/>
  </si>
  <si>
    <t>drug class</t>
    <phoneticPr fontId="1" type="noConversion"/>
  </si>
  <si>
    <t>pharmacy</t>
    <phoneticPr fontId="1" type="noConversion"/>
  </si>
  <si>
    <t>D-PH-1001-01</t>
    <phoneticPr fontId="1" type="noConversion"/>
  </si>
  <si>
    <t>biguanide</t>
    <phoneticPr fontId="1" type="noConversion"/>
  </si>
  <si>
    <t>Parramatta Community Pharmacy</t>
    <phoneticPr fontId="1" type="noConversion"/>
  </si>
  <si>
    <t>D-PH-1001-02</t>
    <phoneticPr fontId="1" type="noConversion"/>
  </si>
  <si>
    <t>D-PH-1001-03</t>
    <phoneticPr fontId="1" type="noConversion"/>
  </si>
  <si>
    <t>D-PH-1001-04</t>
    <phoneticPr fontId="1" type="noConversion"/>
  </si>
  <si>
    <t>D-PH-1001-05</t>
    <phoneticPr fontId="1" type="noConversion"/>
  </si>
  <si>
    <t>D-PH-1001-06</t>
    <phoneticPr fontId="1" type="noConversion"/>
  </si>
  <si>
    <t>D-PH-1001-07</t>
    <phoneticPr fontId="1" type="noConversion"/>
  </si>
  <si>
    <t>1. Latest VALID result on or before 2026-09-01: date and value in mmol/mol (convert % if needed)</t>
    <phoneticPr fontId="1" type="noConversion"/>
  </si>
  <si>
    <t>4. Result date + 90 days =</t>
    <phoneticPr fontId="1" type="noConversion"/>
  </si>
  <si>
    <t>2026-05-20 + 90 days = 2026-08-18</t>
    <phoneticPr fontId="1" type="noConversion"/>
  </si>
  <si>
    <t>5. Review visits (med review or care plan = yes) after the result date and on or before date + 90:</t>
    <phoneticPr fontId="1" type="noConversion"/>
  </si>
  <si>
    <t>None. The care-plan visit E0002 (2026-02-20) and the standard visit E0003 (2026-04-01) are both before the result. No visit between 2026-05-21 and 2026-08-18</t>
    <phoneticPr fontId="1" type="noConversion"/>
  </si>
  <si>
    <t>6. UC1 status (or "not listed")</t>
    <phoneticPr fontId="1" type="noConversion"/>
  </si>
  <si>
    <t>3. Distinct covered days inside the window (overlaps count once)</t>
    <phoneticPr fontId="1" type="noConversion"/>
  </si>
  <si>
    <t>28 + 30 + 30 + 30 + 30 + 30 = 178 (no overlaps; uncovered days: 08-30 and 08-31)</t>
    <phoneticPr fontId="1" type="noConversion"/>
  </si>
  <si>
    <t>5. UC2 status (ADHERENT / NON_ADHERENT / not assessed)</t>
    <phoneticPr fontId="1" type="noConversion"/>
  </si>
  <si>
    <t>1. VALID results collected after 2025-09-01 and on or before 2026-09-01 (dates and mmol/mol values)</t>
    <phoneticPr fontId="1" type="noConversion"/>
  </si>
  <si>
    <t>1. Any VALID result with no delivery, reported on or before 2026-08-25?</t>
    <phoneticPr fontId="1" type="noConversion"/>
  </si>
  <si>
    <t>2. Same drug class from two pharmacies in overlapping periods?</t>
    <phoneticPr fontId="1" type="noConversion"/>
  </si>
  <si>
    <t>3. Listed in UC4? (yes / no, and which break type)</t>
    <phoneticPr fontId="1" type="noConversion"/>
  </si>
  <si>
    <t>MSG-0004</t>
    <phoneticPr fontId="1" type="noConversion"/>
  </si>
  <si>
    <t>OBS-0004</t>
    <phoneticPr fontId="1" type="noConversion"/>
  </si>
  <si>
    <t>MSG-0005</t>
    <phoneticPr fontId="1" type="noConversion"/>
  </si>
  <si>
    <t>OBS-0005</t>
    <phoneticPr fontId="1" type="noConversion"/>
  </si>
  <si>
    <t>MSG-0006</t>
    <phoneticPr fontId="1" type="noConversion"/>
  </si>
  <si>
    <t>OBS-0006</t>
    <phoneticPr fontId="1" type="noConversion"/>
  </si>
  <si>
    <t>E0004</t>
    <phoneticPr fontId="1" type="noConversion"/>
  </si>
  <si>
    <t>E0005</t>
    <phoneticPr fontId="1" type="noConversion"/>
  </si>
  <si>
    <t>MEDICATION_REVIEW</t>
    <phoneticPr fontId="1" type="noConversion"/>
  </si>
  <si>
    <t>E0006</t>
    <phoneticPr fontId="1" type="noConversion"/>
  </si>
  <si>
    <t>D-PH-1002-01</t>
    <phoneticPr fontId="1" type="noConversion"/>
  </si>
  <si>
    <t>Blacktown Discount Pharmacy</t>
    <phoneticPr fontId="1" type="noConversion"/>
  </si>
  <si>
    <t>D-PH-1002-02</t>
    <phoneticPr fontId="1" type="noConversion"/>
  </si>
  <si>
    <t>D-PH-1002-03</t>
    <phoneticPr fontId="1" type="noConversion"/>
  </si>
  <si>
    <t>2026-07-01 (OBS-0006): 58.0 mmol/mol</t>
    <phoneticPr fontId="1" type="noConversion"/>
  </si>
  <si>
    <t>2026-07-01 + 90 days = 2026-09-29</t>
    <phoneticPr fontId="1" type="noConversion"/>
  </si>
  <si>
    <t>None. E0006 (2026-07-15) is a STANDARD visit with no review flag; the medication review E0005 (2026-03-10) is before this result</t>
    <phoneticPr fontId="1" type="noConversion"/>
  </si>
  <si>
    <t>30 + 30 = 60</t>
    <phoneticPr fontId="1" type="noConversion"/>
  </si>
  <si>
    <t>NON_ADHERENT (0.333 &lt; 0.8)</t>
    <phoneticPr fontId="1" type="noConversion"/>
  </si>
  <si>
    <t>MSG-0007</t>
    <phoneticPr fontId="1" type="noConversion"/>
  </si>
  <si>
    <t>OBS-0007</t>
    <phoneticPr fontId="1" type="noConversion"/>
  </si>
  <si>
    <t>MSG-0008</t>
    <phoneticPr fontId="1" type="noConversion"/>
  </si>
  <si>
    <t>OBS-0008</t>
    <phoneticPr fontId="1" type="noConversion"/>
  </si>
  <si>
    <t>E0007</t>
    <phoneticPr fontId="1" type="noConversion"/>
  </si>
  <si>
    <t>E0008</t>
    <phoneticPr fontId="1" type="noConversion"/>
  </si>
  <si>
    <t>D-PH-1003-01</t>
    <phoneticPr fontId="1" type="noConversion"/>
  </si>
  <si>
    <t>D-PH-1003-02</t>
    <phoneticPr fontId="1" type="noConversion"/>
  </si>
  <si>
    <t>D-PH-1003-03</t>
    <phoneticPr fontId="1" type="noConversion"/>
  </si>
  <si>
    <t>D-PH-1003-04</t>
    <phoneticPr fontId="1" type="noConversion"/>
  </si>
  <si>
    <t>D-PH-1003-05</t>
    <phoneticPr fontId="1" type="noConversion"/>
  </si>
  <si>
    <t>D-PH-1003-06</t>
    <phoneticPr fontId="1" type="noConversion"/>
  </si>
  <si>
    <t>2025-12-01 (OBS-0008): 51.0 mmol/mol</t>
    <phoneticPr fontId="1" type="noConversion"/>
  </si>
  <si>
    <t>Only 2025-12-01: 51.0. The result of 2025-06-10 (49.0) is before 2025-09-01, so it is outside the 12-month window</t>
    <phoneticPr fontId="1" type="noConversion"/>
  </si>
  <si>
    <t>Not calculated (fewer than 2 results); change stays empty</t>
    <phoneticPr fontId="1" type="noConversion"/>
  </si>
  <si>
    <t>MSG-0017</t>
    <phoneticPr fontId="1" type="noConversion"/>
  </si>
  <si>
    <t>OBS-0017</t>
    <phoneticPr fontId="1" type="noConversion"/>
  </si>
  <si>
    <t>MSG-0018</t>
    <phoneticPr fontId="1" type="noConversion"/>
  </si>
  <si>
    <t>OBS-0018</t>
    <phoneticPr fontId="1" type="noConversion"/>
  </si>
  <si>
    <t>MSG-0019</t>
    <phoneticPr fontId="1" type="noConversion"/>
  </si>
  <si>
    <t>OBS-0019</t>
    <phoneticPr fontId="1" type="noConversion"/>
  </si>
  <si>
    <t>MSG-0020</t>
    <phoneticPr fontId="1" type="noConversion"/>
  </si>
  <si>
    <t>OBS-0020</t>
    <phoneticPr fontId="1" type="noConversion"/>
  </si>
  <si>
    <t>E0017</t>
    <phoneticPr fontId="1" type="noConversion"/>
  </si>
  <si>
    <t>E0018</t>
    <phoneticPr fontId="1" type="noConversion"/>
  </si>
  <si>
    <t>E0019</t>
    <phoneticPr fontId="1" type="noConversion"/>
  </si>
  <si>
    <t>E0020</t>
    <phoneticPr fontId="1" type="noConversion"/>
  </si>
  <si>
    <t>D-PH-1009-01</t>
    <phoneticPr fontId="1" type="noConversion"/>
  </si>
  <si>
    <t>D-PH-1009-02</t>
    <phoneticPr fontId="1" type="noConversion"/>
  </si>
  <si>
    <t>D-PH-1009-03</t>
    <phoneticPr fontId="1" type="noConversion"/>
  </si>
  <si>
    <t>D-PH-1009-04</t>
    <phoneticPr fontId="1" type="noConversion"/>
  </si>
  <si>
    <t>D-PH-1009-05</t>
    <phoneticPr fontId="1" type="noConversion"/>
  </si>
  <si>
    <t>D-PH-1009-06</t>
    <phoneticPr fontId="1" type="noConversion"/>
  </si>
  <si>
    <t>D-PH-1009-07</t>
    <phoneticPr fontId="1" type="noConversion"/>
  </si>
  <si>
    <t>2026-06-28 (OBS-0020): 48.0 mmol/mol</t>
    <phoneticPr fontId="1" type="noConversion"/>
  </si>
  <si>
    <t>Not needed (for information: medication review E0020 on 2026-07-05)</t>
    <phoneticPr fontId="1" type="noConversion"/>
  </si>
  <si>
    <t>MSG-0027</t>
    <phoneticPr fontId="1" type="noConversion"/>
  </si>
  <si>
    <t>OBS-0027</t>
    <phoneticPr fontId="1" type="noConversion"/>
  </si>
  <si>
    <t>MSG-0028</t>
    <phoneticPr fontId="1" type="noConversion"/>
  </si>
  <si>
    <t>OBS-0028</t>
    <phoneticPr fontId="1" type="noConversion"/>
  </si>
  <si>
    <t>E0024</t>
    <phoneticPr fontId="1" type="noConversion"/>
  </si>
  <si>
    <t>(none)</t>
    <phoneticPr fontId="1" type="noConversion"/>
  </si>
  <si>
    <t>2026-04-10 (OBS-0028): 60.0 mmol/mol</t>
    <phoneticPr fontId="1" type="noConversion"/>
  </si>
  <si>
    <t>2026-04-10 + 90 days = 2026-07-09</t>
    <phoneticPr fontId="1" type="noConversion"/>
  </si>
  <si>
    <t>None</t>
    <phoneticPr fontId="1" type="noConversion"/>
  </si>
  <si>
    <t>0 (no dispenses)</t>
    <phoneticPr fontId="1" type="noConversion"/>
  </si>
  <si>
    <t>No PDC</t>
    <phoneticPr fontId="1" type="noConversion"/>
  </si>
  <si>
    <t>MSG-0034</t>
    <phoneticPr fontId="1" type="noConversion"/>
  </si>
  <si>
    <t>OBS-0033</t>
    <phoneticPr fontId="1" type="noConversion"/>
  </si>
  <si>
    <t>%</t>
    <phoneticPr fontId="1" type="noConversion"/>
  </si>
  <si>
    <t>MSG-0035</t>
    <phoneticPr fontId="1" type="noConversion"/>
  </si>
  <si>
    <t>OBS-0034</t>
    <phoneticPr fontId="1" type="noConversion"/>
  </si>
  <si>
    <t>E0027</t>
    <phoneticPr fontId="1" type="noConversion"/>
  </si>
  <si>
    <t>D-PH-1013-01</t>
    <phoneticPr fontId="1" type="noConversion"/>
  </si>
  <si>
    <t>DPP-4 inhibitor</t>
    <phoneticPr fontId="1" type="noConversion"/>
  </si>
  <si>
    <t>Westmead Chemist</t>
    <phoneticPr fontId="1" type="noConversion"/>
  </si>
  <si>
    <t>D-PH-1013-02</t>
    <phoneticPr fontId="1" type="noConversion"/>
  </si>
  <si>
    <t>D-PH-1013-03</t>
    <phoneticPr fontId="1" type="noConversion"/>
  </si>
  <si>
    <t>D-PH-1013-04</t>
    <phoneticPr fontId="1" type="noConversion"/>
  </si>
  <si>
    <t>D-PH-1013-05</t>
    <phoneticPr fontId="1" type="noConversion"/>
  </si>
  <si>
    <t>D-PH-1013-06</t>
    <phoneticPr fontId="1" type="noConversion"/>
  </si>
  <si>
    <t>D-PH-1013-07</t>
    <phoneticPr fontId="1" type="noConversion"/>
  </si>
  <si>
    <t>2026-06-05 + 90 days = 2026-09-03</t>
    <phoneticPr fontId="1" type="noConversion"/>
  </si>
  <si>
    <t>Hand checks package (Xiaolong Yang). Worked step by step from Build Plan v2 Appendix B and section 6, independently of the team's SQL. Yellow cells = hand-check results. Summary sheet: one row per patient.</t>
    <phoneticPr fontId="1" type="noConversion"/>
  </si>
  <si>
    <t>Parameters: as_of_date 2026-09-01; test_overdue_months 6; hba1c_high_mmol 53; review_window_days 90; pdc_window_days 180; pdc_threshold 0.8; trend_window_months 12; trend_min_change_mmol 5; return_grace_days 7.</t>
    <phoneticPr fontId="1" type="noConversion"/>
  </si>
  <si>
    <t>Only VALID results count. % results are converted: mmol/mol = (% - 2.15) x 10.929, rounded to 1 decimal.</t>
    <phoneticPr fontId="1" type="noConversion"/>
  </si>
  <si>
    <t>UC1: latest VALID result on or before 2026-09-01. None -&gt; NO_TEST_ON_RECORD. Collected before 2026-03-01 -&gt; OVERDUE_TEST. Else if &gt;= 53 and no review visit (medication_review_flag or care_plan_flag true) after the result date and on or before result date + 90 days: HIGH_NO_REVIEW if result date + 90 &lt;= 2026-09-01, else HIGH_REVIEW_PENDING. Otherwise not listed.</t>
    <phoneticPr fontId="1" type="noConversion"/>
  </si>
  <si>
    <t>UC2: window 2026-03-05 to 2026-08-31 (180 days). Eligible per drug class if &gt;= 2 fills dispensed 2025-12-05 to 2026-08-31. A fill covers dispensed_date to dispensed_date + days_supply - 1. PDC = distinct covered days inside the window / 180 (3 decimals). PDC &lt; 0.8 -&gt; NON_ADHERENT, else ADHERENT. No dispenses -&gt; not assessed.</t>
    <phoneticPr fontId="1" type="noConversion"/>
  </si>
  <si>
    <t>UC3: VALID results collected after 2025-09-01 and on or before 2026-09-01. Fewer than 2 -&gt; INSUFFICIENT_HISTORY. Change = last - first. Change &gt;= +5 -&gt; RISING, &lt;= -5 -&gt; FALLING, else STABLE. rising_despite_adherence = RISING and best PDC &gt;= 0.8 (no PDC -&gt; false).</t>
    <phoneticPr fontId="1" type="noConversion"/>
  </si>
  <si>
    <t>UC3 first -&gt; last</t>
    <phoneticPr fontId="1" type="noConversion"/>
  </si>
  <si>
    <t>50.0 -&gt; 62.0</t>
    <phoneticPr fontId="1" type="noConversion"/>
  </si>
  <si>
    <t>Agrees with test plan v1.1: U101, U103, U303, I03</t>
    <phoneticPr fontId="1" type="noConversion"/>
  </si>
  <si>
    <t>58.0 -&gt; 58.0</t>
    <phoneticPr fontId="1" type="noConversion"/>
  </si>
  <si>
    <t>Agrees with test plan v1.1: U101, U201, U203, I04</t>
    <phoneticPr fontId="1" type="noConversion"/>
  </si>
  <si>
    <t>Agrees with test plan v1.1: U101, U102, U202, U302, U306</t>
    <phoneticPr fontId="1" type="noConversion"/>
  </si>
  <si>
    <t>49.0 -&gt; 48.0</t>
    <phoneticPr fontId="1" type="noConversion"/>
  </si>
  <si>
    <t>Agrees with test plan v1.1: U106, U404</t>
    <phoneticPr fontId="1" type="noConversion"/>
  </si>
  <si>
    <t>55.0 -&gt; 60.0</t>
    <phoneticPr fontId="1" type="noConversion"/>
  </si>
  <si>
    <t>Agrees with test plan v1.1: U106, U301</t>
    <phoneticPr fontId="1" type="noConversion"/>
  </si>
  <si>
    <t>53.0 -&gt; 65.0</t>
    <phoneticPr fontId="1" type="noConversion"/>
  </si>
  <si>
    <t>Agrees with test plan v1.1: U101, Q06, U301</t>
    <phoneticPr fontId="1" type="noConversion"/>
  </si>
  <si>
    <t>P01 - Thomas Smith - records: GP GP-0001, LAB PATH0001, PHARM PH-1001</t>
    <phoneticPr fontId="1" type="noConversion"/>
  </si>
  <si>
    <t>UC1 - care gap</t>
    <phoneticPr fontId="1" type="noConversion"/>
  </si>
  <si>
    <t>2026-05-20 (OBS-0003): 62.0 mmol/mol (already in mmol/mol, no conversion needed)</t>
    <phoneticPr fontId="1" type="noConversion"/>
  </si>
  <si>
    <t>2. Is that date before 2026-03-01? (yes -&gt; OVERDUE_TEST)</t>
    <phoneticPr fontId="1" type="noConversion"/>
  </si>
  <si>
    <t>No, 2026-05-20 is after 2026-03-01 (as-of date 2026-09-01 minus 6 months), so the test is not overdue</t>
    <phoneticPr fontId="1" type="noConversion"/>
  </si>
  <si>
    <t>3. Is the value &gt;= 53?</t>
    <phoneticPr fontId="1" type="noConversion"/>
  </si>
  <si>
    <t>Yes, 62.0 &gt;= 53</t>
    <phoneticPr fontId="1" type="noConversion"/>
  </si>
  <si>
    <t>HIGH_NO_REVIEW: the 90 days ended on 2026-08-18, before the as-of date 2026-09-01, with no review visit</t>
    <phoneticPr fontId="1" type="noConversion"/>
  </si>
  <si>
    <t>UC2 - adherence (PDC)</t>
    <phoneticPr fontId="1" type="noConversion"/>
  </si>
  <si>
    <t>1. Fills dispensed 2025-12-05 to 2026-08-31 (count, per drug class). Eligible = 2 or more</t>
    <phoneticPr fontId="1" type="noConversion"/>
  </si>
  <si>
    <t>7 fills of biguanide (2026-02-01 to 2026-07-31), all between 2025-12-05 and 2026-08-31 -&gt; eligible</t>
    <phoneticPr fontId="1" type="noConversion"/>
  </si>
  <si>
    <t>2. Covered days of each fill = from date to date + days - 1. List the covered periods inside 2026-03-05 to 2026-08-31</t>
    <phoneticPr fontId="1" type="noConversion"/>
  </si>
  <si>
    <t>02-01 to 03-02 -&gt; 0 days in the window (ends before 03-05)
03-03 to 04-01 -&gt; in window 03-05 to 04-01 = 28
04-02 to 05-01 = 30
05-02 to 05-31 = 30
06-01 to 06-30 = 30
07-01 to 07-30 = 30
07-31 to 08-29 = 30 (all dates 2026)</t>
    <phoneticPr fontId="1" type="noConversion"/>
  </si>
  <si>
    <t>4. PDC = covered days / 180 (3 decimals)</t>
    <phoneticPr fontId="1" type="noConversion"/>
  </si>
  <si>
    <t>178 / 180 = 0.9889 -&gt; 0.989</t>
    <phoneticPr fontId="1" type="noConversion"/>
  </si>
  <si>
    <t>ADHERENT (0.989 &gt;= 0.8)</t>
    <phoneticPr fontId="1" type="noConversion"/>
  </si>
  <si>
    <t>UC3 - trend</t>
    <phoneticPr fontId="1" type="noConversion"/>
  </si>
  <si>
    <t>2025-10-10: 50.0; 2026-02-12: 56.0; 2026-05-20: 62.0</t>
    <phoneticPr fontId="1" type="noConversion"/>
  </si>
  <si>
    <t>2. Number of results (fewer than 2 -&gt; INSUFFICIENT_HISTORY)</t>
    <phoneticPr fontId="1" type="noConversion"/>
  </si>
  <si>
    <t>3, enough for a trend</t>
    <phoneticPr fontId="1" type="noConversion"/>
  </si>
  <si>
    <t>3. First value -&gt; last value; change = last - first</t>
    <phoneticPr fontId="1" type="noConversion"/>
  </si>
  <si>
    <t>50.0 -&gt; 62.0; change = 62.0 - 50.0 = +12.0</t>
    <phoneticPr fontId="1" type="noConversion"/>
  </si>
  <si>
    <t>4. Trend status (RISING if &gt;= +5, FALLING if &lt;= -5, else STABLE)</t>
    <phoneticPr fontId="1" type="noConversion"/>
  </si>
  <si>
    <t>RISING (+12.0 &gt;= +5)</t>
    <phoneticPr fontId="1" type="noConversion"/>
  </si>
  <si>
    <t>5. Best PDC (from UC2) and rising_despite_adherence (RISING and PDC &gt;= 0.8)</t>
    <phoneticPr fontId="1" type="noConversion"/>
  </si>
  <si>
    <t>Best PDC 0.989 (biguanide) &gt;= 0.8 and RISING -&gt; rising_despite_adherence = TRUE</t>
    <phoneticPr fontId="1" type="noConversion"/>
  </si>
  <si>
    <t>UC4 - care-path breaks</t>
    <phoneticPr fontId="1" type="noConversion"/>
  </si>
  <si>
    <t>No, all 3 results were delivered (2025-10-12, 2026-02-14, 2026-05-22)</t>
    <phoneticPr fontId="1" type="noConversion"/>
  </si>
  <si>
    <t>No, one pharmacy only (Parramatta Community Pharmacy)</t>
    <phoneticPr fontId="1" type="noConversion"/>
  </si>
  <si>
    <t>No, not listed</t>
    <phoneticPr fontId="1" type="noConversion"/>
  </si>
  <si>
    <t>P02 - Mei Chen - records: GP GP-0002, LAB PATH0002, PHARM PH-1002</t>
    <phoneticPr fontId="1" type="noConversion"/>
  </si>
  <si>
    <t>No, 2026-07-01 is after 2026-03-01</t>
    <phoneticPr fontId="1" type="noConversion"/>
  </si>
  <si>
    <t>Yes, 58.0 &gt;= 53</t>
    <phoneticPr fontId="1" type="noConversion"/>
  </si>
  <si>
    <t>HIGH_REVIEW_PENDING: the 90-day window ends on 2026-09-29, after the as-of date 2026-09-01, so a review can still happen</t>
    <phoneticPr fontId="1" type="noConversion"/>
  </si>
  <si>
    <t>3 fills of biguanide (2026-01-10, 2026-03-20, 2026-06-15), all between 2025-12-05 and 2026-08-31 -&gt; eligible</t>
    <phoneticPr fontId="1" type="noConversion"/>
  </si>
  <si>
    <t>01-10 to 02-08 -&gt; 0 days in the window (ends before 03-05)
03-20 to 04-18 = 30
06-15 to 07-14 = 30 (all dates 2026)</t>
    <phoneticPr fontId="1" type="noConversion"/>
  </si>
  <si>
    <t>60 / 180 = 0.3333 -&gt; 0.333</t>
    <phoneticPr fontId="1" type="noConversion"/>
  </si>
  <si>
    <t>2025-11-20: 58.0; 2026-03-01: 57.0; 2026-07-01: 58.0</t>
    <phoneticPr fontId="1" type="noConversion"/>
  </si>
  <si>
    <t>58.0 -&gt; 58.0; change = 58.0 - 58.0 = 0.0</t>
    <phoneticPr fontId="1" type="noConversion"/>
  </si>
  <si>
    <t>STABLE (between -5 and +5)</t>
    <phoneticPr fontId="1" type="noConversion"/>
  </si>
  <si>
    <t>Best PDC 0.333; not RISING -&gt; rising_despite_adherence = FALSE</t>
    <phoneticPr fontId="1" type="noConversion"/>
  </si>
  <si>
    <t>No, all 3 results were delivered (2025-11-22, 2026-03-03, 2026-07-03)</t>
    <phoneticPr fontId="1" type="noConversion"/>
  </si>
  <si>
    <t>No, one pharmacy only (Blacktown Discount Pharmacy)</t>
    <phoneticPr fontId="1" type="noConversion"/>
  </si>
  <si>
    <t>P03 - Ahmed Khan - records: GP GP-0003, LAB PATH0003, PHARM PH-1003</t>
    <phoneticPr fontId="1" type="noConversion"/>
  </si>
  <si>
    <t>Yes, 2025-12-01 is before 2026-03-01: no test in the last 6 months -&gt; OVERDUE_TEST</t>
    <phoneticPr fontId="1" type="noConversion"/>
  </si>
  <si>
    <t>Not needed: step 2 already gives OVERDUE_TEST (for information: 51.0 &lt; 53)</t>
    <phoneticPr fontId="1" type="noConversion"/>
  </si>
  <si>
    <t>Not needed: step 2 already gives OVERDUE_TEST</t>
    <phoneticPr fontId="1" type="noConversion"/>
  </si>
  <si>
    <t>6 fills of biguanide (2026-03-01 to 2026-07-29), all between 2025-12-05 and 2026-08-31 -&gt; eligible</t>
    <phoneticPr fontId="1" type="noConversion"/>
  </si>
  <si>
    <t>03-01 to 03-30 -&gt; in window 03-05 to 03-30 = 26
03-31 to 04-29 = 30
04-30 to 05-29 = 30
05-30 to 06-28 = 30
06-29 to 07-28 = 30
07-29 to 08-27 = 30 (all dates 2026)</t>
    <phoneticPr fontId="1" type="noConversion"/>
  </si>
  <si>
    <t>26 + 30 x 5 = 176 (no overlaps; uncovered: 08-28 to 08-31, 4 days)</t>
    <phoneticPr fontId="1" type="noConversion"/>
  </si>
  <si>
    <t>176 / 180 = 0.9778 -&gt; 0.978</t>
    <phoneticPr fontId="1" type="noConversion"/>
  </si>
  <si>
    <t>ADHERENT (0.978 &gt;= 0.8)</t>
    <phoneticPr fontId="1" type="noConversion"/>
  </si>
  <si>
    <t>1 -&gt; INSUFFICIENT_HISTORY</t>
    <phoneticPr fontId="1" type="noConversion"/>
  </si>
  <si>
    <t>Best PDC 0.978, but not RISING -&gt; rising_despite_adherence = FALSE</t>
    <phoneticPr fontId="1" type="noConversion"/>
  </si>
  <si>
    <t>No, both results were delivered (2025-06-12, 2025-12-03)</t>
    <phoneticPr fontId="1" type="noConversion"/>
  </si>
  <si>
    <t>P09 - Grace Taylor - records: GP GP-0010, LAB PATH0009, PHARM PH-1009</t>
    <phoneticPr fontId="1" type="noConversion"/>
  </si>
  <si>
    <t>No, 2026-06-28 is after 2026-03-01</t>
    <phoneticPr fontId="1" type="noConversion"/>
  </si>
  <si>
    <t>No, 48.0 &lt; 53</t>
    <phoneticPr fontId="1" type="noConversion"/>
  </si>
  <si>
    <t>Not needed: the result is not high</t>
    <phoneticPr fontId="1" type="noConversion"/>
  </si>
  <si>
    <t>7 fills of biguanide (2026-02-15 to 2026-08-14), all between 2025-12-05 and 2026-08-31 -&gt; eligible</t>
    <phoneticPr fontId="1" type="noConversion"/>
  </si>
  <si>
    <t>02-15 to 03-16 -&gt; in window 03-05 to 03-16 = 12
03-17 to 04-15 = 30
04-16 to 05-15 = 30
05-16 to 06-14 = 30
06-15 to 07-14 = 30
07-15 to 08-13 = 30
08-14 to 09-12 -&gt; in window 08-14 to 08-31 = 18 (all dates 2026)</t>
    <phoneticPr fontId="1" type="noConversion"/>
  </si>
  <si>
    <t>12 + 30 x 5 + 18 = 180, so every day of the window is covered</t>
    <phoneticPr fontId="1" type="noConversion"/>
  </si>
  <si>
    <t>180 / 180 = 1.000</t>
    <phoneticPr fontId="1" type="noConversion"/>
  </si>
  <si>
    <t>ADHERENT (1.000 &gt;= 0.8)</t>
    <phoneticPr fontId="1" type="noConversion"/>
  </si>
  <si>
    <t>2025-09-28: 49.0; 2025-12-28: 48.0; 2026-03-28: 50.0; 2026-06-28: 48.0</t>
    <phoneticPr fontId="1" type="noConversion"/>
  </si>
  <si>
    <t>4, enough for a trend</t>
    <phoneticPr fontId="1" type="noConversion"/>
  </si>
  <si>
    <t>49.0 -&gt; 48.0; change = 48.0 - 49.0 = -1.0</t>
    <phoneticPr fontId="1" type="noConversion"/>
  </si>
  <si>
    <t>Best PDC 1.000; not RISING -&gt; rising_despite_adherence = FALSE</t>
    <phoneticPr fontId="1" type="noConversion"/>
  </si>
  <si>
    <t>No, all 4 results were delivered</t>
    <phoneticPr fontId="1" type="noConversion"/>
  </si>
  <si>
    <t>P13 - Chloe White - records: GP GP-0014, LAB PATH0013</t>
    <phoneticPr fontId="1" type="noConversion"/>
  </si>
  <si>
    <t>No, 2026-04-10 is after 2026-03-01</t>
    <phoneticPr fontId="1" type="noConversion"/>
  </si>
  <si>
    <t>Yes, 60.0 &gt;= 53</t>
    <phoneticPr fontId="1" type="noConversion"/>
  </si>
  <si>
    <t>Yes, medication review E0024 on 2026-05-02 (between 2026-04-11 and 2026-07-09)</t>
    <phoneticPr fontId="1" type="noConversion"/>
  </si>
  <si>
    <t>Not listed: the high result was followed up by a review</t>
    <phoneticPr fontId="1" type="noConversion"/>
  </si>
  <si>
    <t>0 fills: this patient has no pharmacy record</t>
    <phoneticPr fontId="1" type="noConversion"/>
  </si>
  <si>
    <t>Not assessed: no row in UC2</t>
    <phoneticPr fontId="1" type="noConversion"/>
  </si>
  <si>
    <t>2025-11-10: 55.0; 2026-04-10: 60.0</t>
    <phoneticPr fontId="1" type="noConversion"/>
  </si>
  <si>
    <t>2, enough for a trend</t>
    <phoneticPr fontId="1" type="noConversion"/>
  </si>
  <si>
    <t>55.0 -&gt; 60.0; change = 60.0 - 55.0 = +5.0</t>
    <phoneticPr fontId="1" type="noConversion"/>
  </si>
  <si>
    <t>RISING (+5.0 &gt;= +5, exactly on the threshold)</t>
    <phoneticPr fontId="1" type="noConversion"/>
  </si>
  <si>
    <t>No PDC (no dispenses) -&gt; adherence cannot be shown -&gt; rising_despite_adherence = FALSE</t>
    <phoneticPr fontId="1" type="noConversion"/>
  </si>
  <si>
    <t>No, both results were delivered (2025-11-12, 2026-04-12)</t>
    <phoneticPr fontId="1" type="noConversion"/>
  </si>
  <si>
    <t>No, there are no pharmacy records</t>
    <phoneticPr fontId="1" type="noConversion"/>
  </si>
  <si>
    <t>P17 - Zoe Clark - records: GP GP-0017, LAB PATH0016, PHARM PH-1013</t>
    <phoneticPr fontId="1" type="noConversion"/>
  </si>
  <si>
    <t>2026-06-05 (OBS-0034): 8.1 % -&gt; (8.1 - 2.15) x 10.929 = 65.03 -&gt; 65.0 mmol/mol</t>
    <phoneticPr fontId="1" type="noConversion"/>
  </si>
  <si>
    <t>No, 2026-06-05 is after 2026-03-01</t>
    <phoneticPr fontId="1" type="noConversion"/>
  </si>
  <si>
    <t>Yes, 65.0 &gt;= 53</t>
    <phoneticPr fontId="1" type="noConversion"/>
  </si>
  <si>
    <t>None. E0027 (2026-06-10) is a STANDARD visit with no review flag</t>
    <phoneticPr fontId="1" type="noConversion"/>
  </si>
  <si>
    <t>HIGH_REVIEW_PENDING: the 90-day window ends on 2026-09-03, after the as-of date 2026-09-01</t>
    <phoneticPr fontId="1" type="noConversion"/>
  </si>
  <si>
    <t>7 fills of DPP-4 inhibitor (2026-03-01 to 2026-08-16), 28 days each, all between 2025-12-05 and 2026-08-31 -&gt; eligible</t>
    <phoneticPr fontId="1" type="noConversion"/>
  </si>
  <si>
    <t>03-01 to 03-28 -&gt; in window 03-05 to 03-28 = 24
03-29 to 04-25 = 28
04-26 to 05-23 = 28
05-24 to 06-20 = 28
06-21 to 07-18 = 28
07-19 to 08-15 = 28
08-16 to 09-12 -&gt; in window 08-16 to 08-31 = 16 (all dates 2026)</t>
    <phoneticPr fontId="1" type="noConversion"/>
  </si>
  <si>
    <t>24 + 28 x 5 + 16 = 180, so every day of the window is covered</t>
    <phoneticPr fontId="1" type="noConversion"/>
  </si>
  <si>
    <t>2025-11-05: 7.0 % -&gt; (7.0 - 2.15) x 10.929 = 53.0; 2026-06-05: 8.1 % -&gt; 65.0</t>
    <phoneticPr fontId="1" type="noConversion"/>
  </si>
  <si>
    <t>53.0 -&gt; 65.0; change = 65.0 - 53.0 = +12.0</t>
    <phoneticPr fontId="1" type="noConversion"/>
  </si>
  <si>
    <t>Best PDC 1.000 (DPP-4 inhibitor) &gt;= 0.8 and RISING -&gt; rising_despite_adherence = TRUE</t>
    <phoneticPr fontId="1" type="noConversion"/>
  </si>
  <si>
    <t>No, both results were delivered (2025-11-07, 2026-06-07)</t>
    <phoneticPr fontId="1" type="noConversion"/>
  </si>
  <si>
    <t>No, one pharmacy only (Westmead Chemist)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</si>
</sst>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\+0.0;\-0.0;0.0"/>
    <numFmt numFmtId="178" formatCode="0.0"/>
    <numFmt numFmtId="179" formatCode="yyyy\-mm\-dd"/>
  </numFmts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Calibri"/>
      <family val="2"/>
    </font>
    <font>
      <b/>
      <sz val="13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vertical="top" wrapText="1"/>
    </xf>
    <xf numFmtId="177" fontId="4" fillId="3" borderId="1" xfId="0" applyNumberFormat="1" applyFont="1" applyFill="1" applyBorder="1" applyAlignment="1">
      <alignment vertical="top" wrapText="1"/>
    </xf>
    <xf numFmtId="49" fontId="4" fillId="3" borderId="1" xfId="0" applyNumberFormat="1" applyFont="1" applyFill="1" applyBorder="1" applyAlignment="1">
      <alignment vertical="top" wrapText="1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179" fontId="4" fillId="0" borderId="1" xfId="0" applyNumberFormat="1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3BE9-0220-9E4B-8427-E3E922485953}">
  <sheetPr>
    <pageSetUpPr fitToPage="1"/>
  </sheetPr>
  <dimension ref="A1:A7"/>
  <sheetViews>
    <sheetView tabSelected="1" workbookViewId="0">
      <selection activeCell="A14" sqref="A14"/>
    </sheetView>
  </sheetViews>
  <sheetFormatPr baseColWidth="10" defaultRowHeight="16"/>
  <cols>
    <col min="1" max="1" width="127.33203125" customWidth="1"/>
  </cols>
  <sheetData>
    <row r="1" spans="1:1" ht="43" customHeight="1">
      <c r="A1" s="3" t="s">
        <v>184</v>
      </c>
    </row>
    <row r="2" spans="1:1" ht="45" customHeight="1">
      <c r="A2" s="3" t="s">
        <v>185</v>
      </c>
    </row>
    <row r="3" spans="1:1" ht="31" customHeight="1">
      <c r="A3" s="3" t="s">
        <v>186</v>
      </c>
    </row>
    <row r="4" spans="1:1" ht="57" customHeight="1">
      <c r="A4" s="3" t="s">
        <v>187</v>
      </c>
    </row>
    <row r="5" spans="1:1" ht="52" customHeight="1">
      <c r="A5" s="3" t="s">
        <v>188</v>
      </c>
    </row>
    <row r="6" spans="1:1" ht="40" customHeight="1">
      <c r="A6" s="3" t="s">
        <v>189</v>
      </c>
    </row>
    <row r="7" spans="1:1" ht="36" customHeight="1">
      <c r="A7" s="3" t="s">
        <v>0</v>
      </c>
    </row>
  </sheetData>
  <phoneticPr fontId="1" type="noConversion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0D2E-F000-8644-A765-77DAA417E63F}">
  <sheetPr>
    <pageSetUpPr fitToPage="1"/>
  </sheetPr>
  <dimension ref="A1:L7"/>
  <sheetViews>
    <sheetView workbookViewId="0"/>
  </sheetViews>
  <sheetFormatPr baseColWidth="10" defaultRowHeight="16"/>
  <cols>
    <col min="1" max="3" width="13.6640625" customWidth="1"/>
    <col min="4" max="4" width="19.1640625" customWidth="1"/>
    <col min="5" max="5" width="13.6640625" customWidth="1"/>
    <col min="6" max="6" width="15.5" customWidth="1"/>
    <col min="7" max="8" width="13.6640625" customWidth="1"/>
    <col min="9" max="9" width="20" customWidth="1"/>
    <col min="10" max="11" width="13.6640625" customWidth="1"/>
    <col min="12" max="12" width="41.83203125" customWidth="1"/>
  </cols>
  <sheetData>
    <row r="1" spans="1:12" ht="26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190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6" customHeight="1">
      <c r="A2" s="2" t="s">
        <v>12</v>
      </c>
      <c r="B2" s="2" t="s">
        <v>13</v>
      </c>
      <c r="C2" s="2" t="s">
        <v>14</v>
      </c>
      <c r="D2" s="1" t="s">
        <v>15</v>
      </c>
      <c r="E2" s="5">
        <f>ROUND(178/180,3)</f>
        <v>0.98899999999999999</v>
      </c>
      <c r="F2" s="1" t="s">
        <v>16</v>
      </c>
      <c r="G2" s="1" t="s">
        <v>191</v>
      </c>
      <c r="H2" s="6">
        <f>62-50</f>
        <v>12</v>
      </c>
      <c r="I2" s="1" t="s">
        <v>17</v>
      </c>
      <c r="J2" s="7" t="s">
        <v>18</v>
      </c>
      <c r="K2" s="1" t="s">
        <v>19</v>
      </c>
      <c r="L2" s="1" t="s">
        <v>192</v>
      </c>
    </row>
    <row r="3" spans="1:12" ht="46" customHeight="1">
      <c r="A3" s="2" t="s">
        <v>20</v>
      </c>
      <c r="B3" s="2" t="s">
        <v>21</v>
      </c>
      <c r="C3" s="2" t="s">
        <v>22</v>
      </c>
      <c r="D3" s="1" t="s">
        <v>23</v>
      </c>
      <c r="E3" s="5">
        <f>ROUND(60/180,3)</f>
        <v>0.33300000000000002</v>
      </c>
      <c r="F3" s="1" t="s">
        <v>24</v>
      </c>
      <c r="G3" s="1" t="s">
        <v>193</v>
      </c>
      <c r="H3" s="6">
        <f>58-58</f>
        <v>0</v>
      </c>
      <c r="I3" s="1" t="s">
        <v>25</v>
      </c>
      <c r="J3" s="7" t="s">
        <v>26</v>
      </c>
      <c r="K3" s="1" t="s">
        <v>19</v>
      </c>
      <c r="L3" s="1" t="s">
        <v>194</v>
      </c>
    </row>
    <row r="4" spans="1:12" ht="46" customHeight="1">
      <c r="A4" s="2" t="s">
        <v>27</v>
      </c>
      <c r="B4" s="2" t="s">
        <v>28</v>
      </c>
      <c r="C4" s="2" t="s">
        <v>29</v>
      </c>
      <c r="D4" s="1" t="s">
        <v>30</v>
      </c>
      <c r="E4" s="5">
        <f>ROUND(176/180,3)</f>
        <v>0.97799999999999998</v>
      </c>
      <c r="F4" s="1" t="s">
        <v>16</v>
      </c>
      <c r="G4" s="1" t="s">
        <v>31</v>
      </c>
      <c r="H4" s="1" t="s">
        <v>32</v>
      </c>
      <c r="I4" s="1" t="s">
        <v>33</v>
      </c>
      <c r="J4" s="7" t="s">
        <v>26</v>
      </c>
      <c r="K4" s="1" t="s">
        <v>19</v>
      </c>
      <c r="L4" s="1" t="s">
        <v>195</v>
      </c>
    </row>
    <row r="5" spans="1:12" ht="46" customHeight="1">
      <c r="A5" s="2" t="s">
        <v>34</v>
      </c>
      <c r="B5" s="2" t="s">
        <v>35</v>
      </c>
      <c r="C5" s="2" t="s">
        <v>36</v>
      </c>
      <c r="D5" s="1" t="s">
        <v>37</v>
      </c>
      <c r="E5" s="5">
        <f>ROUND(180/180,3)</f>
        <v>1</v>
      </c>
      <c r="F5" s="1" t="s">
        <v>16</v>
      </c>
      <c r="G5" s="1" t="s">
        <v>196</v>
      </c>
      <c r="H5" s="6">
        <f>48-49</f>
        <v>-1</v>
      </c>
      <c r="I5" s="1" t="s">
        <v>25</v>
      </c>
      <c r="J5" s="7" t="s">
        <v>26</v>
      </c>
      <c r="K5" s="1" t="s">
        <v>19</v>
      </c>
      <c r="L5" s="1" t="s">
        <v>197</v>
      </c>
    </row>
    <row r="6" spans="1:12" ht="46" customHeight="1">
      <c r="A6" s="2" t="s">
        <v>38</v>
      </c>
      <c r="B6" s="2" t="s">
        <v>39</v>
      </c>
      <c r="C6" s="2" t="s">
        <v>40</v>
      </c>
      <c r="D6" s="1" t="s">
        <v>37</v>
      </c>
      <c r="E6" s="1" t="s">
        <v>32</v>
      </c>
      <c r="F6" s="1" t="s">
        <v>41</v>
      </c>
      <c r="G6" s="1" t="s">
        <v>198</v>
      </c>
      <c r="H6" s="6">
        <f>60-55</f>
        <v>5</v>
      </c>
      <c r="I6" s="1" t="s">
        <v>17</v>
      </c>
      <c r="J6" s="7" t="s">
        <v>26</v>
      </c>
      <c r="K6" s="1" t="s">
        <v>19</v>
      </c>
      <c r="L6" s="1" t="s">
        <v>199</v>
      </c>
    </row>
    <row r="7" spans="1:12" ht="46" customHeight="1">
      <c r="A7" s="2" t="s">
        <v>42</v>
      </c>
      <c r="B7" s="2" t="s">
        <v>43</v>
      </c>
      <c r="C7" s="2" t="s">
        <v>44</v>
      </c>
      <c r="D7" s="1" t="s">
        <v>23</v>
      </c>
      <c r="E7" s="5">
        <f>ROUND(180/180,3)</f>
        <v>1</v>
      </c>
      <c r="F7" s="1" t="s">
        <v>16</v>
      </c>
      <c r="G7" s="1" t="s">
        <v>200</v>
      </c>
      <c r="H7" s="6">
        <f>ROUND((8.1-2.15)*10.929,1)-ROUND((7-2.15)*10.929,1)</f>
        <v>12</v>
      </c>
      <c r="I7" s="1" t="s">
        <v>17</v>
      </c>
      <c r="J7" s="7" t="s">
        <v>18</v>
      </c>
      <c r="K7" s="1" t="s">
        <v>19</v>
      </c>
      <c r="L7" s="1" t="s">
        <v>201</v>
      </c>
    </row>
  </sheetData>
  <phoneticPr fontId="1" type="noConversion"/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C9DE-2584-0840-9DF1-8134DCC143CA}">
  <sheetPr>
    <pageSetUpPr fitToPage="1"/>
  </sheetPr>
  <dimension ref="A1:I50"/>
  <sheetViews>
    <sheetView workbookViewId="0">
      <selection activeCell="H12" sqref="H12"/>
    </sheetView>
  </sheetViews>
  <sheetFormatPr baseColWidth="10" defaultRowHeight="16"/>
  <cols>
    <col min="1" max="1" width="14.5" customWidth="1"/>
    <col min="2" max="2" width="11" customWidth="1"/>
    <col min="3" max="3" width="10" customWidth="1"/>
    <col min="4" max="4" width="11" customWidth="1"/>
    <col min="5" max="5" width="30" customWidth="1"/>
    <col min="6" max="8" width="11.83203125" customWidth="1"/>
    <col min="9" max="9" width="12.6640625" customWidth="1"/>
  </cols>
  <sheetData>
    <row r="1" spans="1:8" ht="22" customHeight="1">
      <c r="A1" s="8" t="s">
        <v>202</v>
      </c>
    </row>
    <row r="3" spans="1:8">
      <c r="A3" s="9" t="s">
        <v>45</v>
      </c>
    </row>
    <row r="4" spans="1:8">
      <c r="A4" s="10" t="s">
        <v>46</v>
      </c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</row>
    <row r="5" spans="1:8">
      <c r="A5" s="11" t="s">
        <v>54</v>
      </c>
      <c r="B5" s="11" t="s">
        <v>55</v>
      </c>
      <c r="C5" s="13">
        <v>45940</v>
      </c>
      <c r="D5" s="13">
        <v>45941</v>
      </c>
      <c r="E5" s="14">
        <v>50</v>
      </c>
      <c r="F5" s="11" t="s">
        <v>56</v>
      </c>
      <c r="G5" s="11" t="s">
        <v>57</v>
      </c>
      <c r="H5" s="13">
        <v>45942</v>
      </c>
    </row>
    <row r="6" spans="1:8">
      <c r="A6" s="11" t="s">
        <v>58</v>
      </c>
      <c r="B6" s="11" t="s">
        <v>59</v>
      </c>
      <c r="C6" s="13">
        <v>46065</v>
      </c>
      <c r="D6" s="13">
        <v>46066</v>
      </c>
      <c r="E6" s="14">
        <v>56</v>
      </c>
      <c r="F6" s="11" t="s">
        <v>56</v>
      </c>
      <c r="G6" s="11" t="s">
        <v>57</v>
      </c>
      <c r="H6" s="13">
        <v>46067</v>
      </c>
    </row>
    <row r="7" spans="1:8">
      <c r="A7" s="11" t="s">
        <v>60</v>
      </c>
      <c r="B7" s="11" t="s">
        <v>61</v>
      </c>
      <c r="C7" s="13">
        <v>46162</v>
      </c>
      <c r="D7" s="13">
        <v>46163</v>
      </c>
      <c r="E7" s="14">
        <v>62</v>
      </c>
      <c r="F7" s="11" t="s">
        <v>56</v>
      </c>
      <c r="G7" s="11" t="s">
        <v>57</v>
      </c>
      <c r="H7" s="13">
        <v>46164</v>
      </c>
    </row>
    <row r="9" spans="1:8">
      <c r="A9" s="9" t="s">
        <v>62</v>
      </c>
    </row>
    <row r="10" spans="1:8">
      <c r="A10" s="10" t="s">
        <v>63</v>
      </c>
      <c r="B10" s="10" t="s">
        <v>64</v>
      </c>
      <c r="C10" s="10" t="s">
        <v>65</v>
      </c>
      <c r="D10" s="10" t="s">
        <v>66</v>
      </c>
      <c r="E10" s="10" t="s">
        <v>67</v>
      </c>
    </row>
    <row r="11" spans="1:8">
      <c r="A11" s="11" t="s">
        <v>68</v>
      </c>
      <c r="B11" s="13">
        <v>45945</v>
      </c>
      <c r="C11" s="11" t="s">
        <v>69</v>
      </c>
      <c r="D11" s="11" t="s">
        <v>70</v>
      </c>
      <c r="E11" s="11" t="s">
        <v>70</v>
      </c>
    </row>
    <row r="12" spans="1:8">
      <c r="A12" s="11" t="s">
        <v>71</v>
      </c>
      <c r="B12" s="13">
        <v>46073</v>
      </c>
      <c r="C12" s="11" t="s">
        <v>72</v>
      </c>
      <c r="D12" s="11" t="s">
        <v>70</v>
      </c>
      <c r="E12" s="11" t="s">
        <v>73</v>
      </c>
    </row>
    <row r="13" spans="1:8">
      <c r="A13" s="11" t="s">
        <v>74</v>
      </c>
      <c r="B13" s="13">
        <v>46113</v>
      </c>
      <c r="C13" s="11" t="s">
        <v>69</v>
      </c>
      <c r="D13" s="11" t="s">
        <v>70</v>
      </c>
      <c r="E13" s="11" t="s">
        <v>70</v>
      </c>
    </row>
    <row r="15" spans="1:8">
      <c r="A15" s="9" t="s">
        <v>75</v>
      </c>
    </row>
    <row r="16" spans="1:8">
      <c r="A16" s="10" t="s">
        <v>76</v>
      </c>
      <c r="B16" s="10" t="s">
        <v>64</v>
      </c>
      <c r="C16" s="10" t="s">
        <v>77</v>
      </c>
      <c r="D16" s="10" t="s">
        <v>78</v>
      </c>
      <c r="E16" s="10" t="s">
        <v>79</v>
      </c>
    </row>
    <row r="17" spans="1:9">
      <c r="A17" s="11" t="s">
        <v>80</v>
      </c>
      <c r="B17" s="13">
        <v>46054</v>
      </c>
      <c r="C17" s="11">
        <v>30</v>
      </c>
      <c r="D17" s="11" t="s">
        <v>81</v>
      </c>
      <c r="E17" s="11" t="s">
        <v>82</v>
      </c>
    </row>
    <row r="18" spans="1:9">
      <c r="A18" s="11" t="s">
        <v>83</v>
      </c>
      <c r="B18" s="13">
        <v>46084</v>
      </c>
      <c r="C18" s="11">
        <v>30</v>
      </c>
      <c r="D18" s="11" t="s">
        <v>81</v>
      </c>
      <c r="E18" s="11" t="s">
        <v>82</v>
      </c>
    </row>
    <row r="19" spans="1:9">
      <c r="A19" s="11" t="s">
        <v>84</v>
      </c>
      <c r="B19" s="13">
        <v>46114</v>
      </c>
      <c r="C19" s="11">
        <v>30</v>
      </c>
      <c r="D19" s="11" t="s">
        <v>81</v>
      </c>
      <c r="E19" s="11" t="s">
        <v>82</v>
      </c>
    </row>
    <row r="20" spans="1:9">
      <c r="A20" s="11" t="s">
        <v>85</v>
      </c>
      <c r="B20" s="13">
        <v>46144</v>
      </c>
      <c r="C20" s="11">
        <v>30</v>
      </c>
      <c r="D20" s="11" t="s">
        <v>81</v>
      </c>
      <c r="E20" s="11" t="s">
        <v>82</v>
      </c>
    </row>
    <row r="21" spans="1:9">
      <c r="A21" s="11" t="s">
        <v>86</v>
      </c>
      <c r="B21" s="13">
        <v>46174</v>
      </c>
      <c r="C21" s="11">
        <v>30</v>
      </c>
      <c r="D21" s="11" t="s">
        <v>81</v>
      </c>
      <c r="E21" s="11" t="s">
        <v>82</v>
      </c>
    </row>
    <row r="22" spans="1:9">
      <c r="A22" s="11" t="s">
        <v>87</v>
      </c>
      <c r="B22" s="13">
        <v>46204</v>
      </c>
      <c r="C22" s="11">
        <v>30</v>
      </c>
      <c r="D22" s="11" t="s">
        <v>81</v>
      </c>
      <c r="E22" s="11" t="s">
        <v>82</v>
      </c>
    </row>
    <row r="23" spans="1:9">
      <c r="A23" s="11" t="s">
        <v>88</v>
      </c>
      <c r="B23" s="13">
        <v>46234</v>
      </c>
      <c r="C23" s="11">
        <v>30</v>
      </c>
      <c r="D23" s="11" t="s">
        <v>81</v>
      </c>
      <c r="E23" s="11" t="s">
        <v>82</v>
      </c>
    </row>
    <row r="25" spans="1:9">
      <c r="A25" s="9" t="s">
        <v>203</v>
      </c>
    </row>
    <row r="26" spans="1:9" ht="36" customHeight="1">
      <c r="A26" s="2" t="s">
        <v>89</v>
      </c>
      <c r="B26" s="2"/>
      <c r="C26" s="2"/>
      <c r="D26" s="2"/>
      <c r="E26" s="2"/>
      <c r="F26" s="1" t="s">
        <v>204</v>
      </c>
      <c r="G26" s="1"/>
      <c r="H26" s="1"/>
      <c r="I26" s="1"/>
    </row>
    <row r="27" spans="1:9" ht="51" customHeight="1">
      <c r="A27" s="2" t="s">
        <v>205</v>
      </c>
      <c r="B27" s="2"/>
      <c r="C27" s="2"/>
      <c r="D27" s="2"/>
      <c r="E27" s="2"/>
      <c r="F27" s="1" t="s">
        <v>206</v>
      </c>
      <c r="G27" s="1"/>
      <c r="H27" s="1"/>
      <c r="I27" s="1"/>
    </row>
    <row r="28" spans="1:9" ht="30" customHeight="1">
      <c r="A28" s="2" t="s">
        <v>207</v>
      </c>
      <c r="B28" s="2"/>
      <c r="C28" s="2"/>
      <c r="D28" s="2"/>
      <c r="E28" s="2"/>
      <c r="F28" s="1" t="s">
        <v>208</v>
      </c>
      <c r="G28" s="1"/>
      <c r="H28" s="1"/>
      <c r="I28" s="1"/>
    </row>
    <row r="29" spans="1:9" ht="30" customHeight="1">
      <c r="A29" s="2" t="s">
        <v>90</v>
      </c>
      <c r="B29" s="2"/>
      <c r="C29" s="2"/>
      <c r="D29" s="2"/>
      <c r="E29" s="2"/>
      <c r="F29" s="1" t="s">
        <v>91</v>
      </c>
      <c r="G29" s="1"/>
      <c r="H29" s="1"/>
      <c r="I29" s="1"/>
    </row>
    <row r="30" spans="1:9" ht="66" customHeight="1">
      <c r="A30" s="2" t="s">
        <v>92</v>
      </c>
      <c r="B30" s="2"/>
      <c r="C30" s="2"/>
      <c r="D30" s="2"/>
      <c r="E30" s="2"/>
      <c r="F30" s="1" t="s">
        <v>93</v>
      </c>
      <c r="G30" s="1"/>
      <c r="H30" s="1"/>
      <c r="I30" s="1"/>
    </row>
    <row r="31" spans="1:9" ht="51" customHeight="1">
      <c r="A31" s="2" t="s">
        <v>94</v>
      </c>
      <c r="B31" s="2"/>
      <c r="C31" s="2"/>
      <c r="D31" s="2"/>
      <c r="E31" s="2"/>
      <c r="F31" s="1" t="s">
        <v>209</v>
      </c>
      <c r="G31" s="1"/>
      <c r="H31" s="1"/>
      <c r="I31" s="1"/>
    </row>
    <row r="33" spans="1:9">
      <c r="A33" s="9" t="s">
        <v>210</v>
      </c>
    </row>
    <row r="34" spans="1:9" ht="36" customHeight="1">
      <c r="A34" s="2" t="s">
        <v>211</v>
      </c>
      <c r="B34" s="2"/>
      <c r="C34" s="2"/>
      <c r="D34" s="2"/>
      <c r="E34" s="2"/>
      <c r="F34" s="1" t="s">
        <v>212</v>
      </c>
      <c r="G34" s="1"/>
      <c r="H34" s="1"/>
      <c r="I34" s="1"/>
    </row>
    <row r="35" spans="1:9" ht="126" customHeight="1">
      <c r="A35" s="2" t="s">
        <v>213</v>
      </c>
      <c r="B35" s="2"/>
      <c r="C35" s="2"/>
      <c r="D35" s="2"/>
      <c r="E35" s="2"/>
      <c r="F35" s="1" t="s">
        <v>214</v>
      </c>
      <c r="G35" s="1"/>
      <c r="H35" s="1"/>
      <c r="I35" s="1"/>
    </row>
    <row r="36" spans="1:9" ht="36" customHeight="1">
      <c r="A36" s="2" t="s">
        <v>95</v>
      </c>
      <c r="B36" s="2"/>
      <c r="C36" s="2"/>
      <c r="D36" s="2"/>
      <c r="E36" s="2"/>
      <c r="F36" s="1" t="s">
        <v>96</v>
      </c>
      <c r="G36" s="1"/>
      <c r="H36" s="1"/>
      <c r="I36" s="1"/>
    </row>
    <row r="37" spans="1:9" ht="30" customHeight="1">
      <c r="A37" s="2" t="s">
        <v>215</v>
      </c>
      <c r="B37" s="2"/>
      <c r="C37" s="2"/>
      <c r="D37" s="2"/>
      <c r="E37" s="2"/>
      <c r="F37" s="1" t="s">
        <v>216</v>
      </c>
      <c r="G37" s="1"/>
      <c r="H37" s="1"/>
      <c r="I37" s="1"/>
    </row>
    <row r="38" spans="1:9" ht="30" customHeight="1">
      <c r="A38" s="2" t="s">
        <v>97</v>
      </c>
      <c r="B38" s="2"/>
      <c r="C38" s="2"/>
      <c r="D38" s="2"/>
      <c r="E38" s="2"/>
      <c r="F38" s="1" t="s">
        <v>217</v>
      </c>
      <c r="G38" s="1"/>
      <c r="H38" s="1"/>
      <c r="I38" s="1"/>
    </row>
    <row r="40" spans="1:9">
      <c r="A40" s="9" t="s">
        <v>218</v>
      </c>
    </row>
    <row r="41" spans="1:9" ht="36" customHeight="1">
      <c r="A41" s="2" t="s">
        <v>98</v>
      </c>
      <c r="B41" s="2"/>
      <c r="C41" s="2"/>
      <c r="D41" s="2"/>
      <c r="E41" s="2"/>
      <c r="F41" s="1" t="s">
        <v>219</v>
      </c>
      <c r="G41" s="1"/>
      <c r="H41" s="1"/>
      <c r="I41" s="1"/>
    </row>
    <row r="42" spans="1:9" ht="30" customHeight="1">
      <c r="A42" s="2" t="s">
        <v>220</v>
      </c>
      <c r="B42" s="2"/>
      <c r="C42" s="2"/>
      <c r="D42" s="2"/>
      <c r="E42" s="2"/>
      <c r="F42" s="1" t="s">
        <v>221</v>
      </c>
      <c r="G42" s="1"/>
      <c r="H42" s="1"/>
      <c r="I42" s="1"/>
    </row>
    <row r="43" spans="1:9" ht="30" customHeight="1">
      <c r="A43" s="2" t="s">
        <v>222</v>
      </c>
      <c r="B43" s="2"/>
      <c r="C43" s="2"/>
      <c r="D43" s="2"/>
      <c r="E43" s="2"/>
      <c r="F43" s="1" t="s">
        <v>223</v>
      </c>
      <c r="G43" s="1"/>
      <c r="H43" s="1"/>
      <c r="I43" s="1"/>
    </row>
    <row r="44" spans="1:9" ht="30" customHeight="1">
      <c r="A44" s="2" t="s">
        <v>224</v>
      </c>
      <c r="B44" s="2"/>
      <c r="C44" s="2"/>
      <c r="D44" s="2"/>
      <c r="E44" s="2"/>
      <c r="F44" s="1" t="s">
        <v>225</v>
      </c>
      <c r="G44" s="1"/>
      <c r="H44" s="1"/>
      <c r="I44" s="1"/>
    </row>
    <row r="45" spans="1:9" ht="36" customHeight="1">
      <c r="A45" s="2" t="s">
        <v>226</v>
      </c>
      <c r="B45" s="2"/>
      <c r="C45" s="2"/>
      <c r="D45" s="2"/>
      <c r="E45" s="2"/>
      <c r="F45" s="1" t="s">
        <v>227</v>
      </c>
      <c r="G45" s="1"/>
      <c r="H45" s="1"/>
      <c r="I45" s="1"/>
    </row>
    <row r="47" spans="1:9">
      <c r="A47" s="9" t="s">
        <v>228</v>
      </c>
    </row>
    <row r="48" spans="1:9" ht="36" customHeight="1">
      <c r="A48" s="2" t="s">
        <v>99</v>
      </c>
      <c r="B48" s="2"/>
      <c r="C48" s="2"/>
      <c r="D48" s="2"/>
      <c r="E48" s="2"/>
      <c r="F48" s="1" t="s">
        <v>229</v>
      </c>
      <c r="G48" s="1"/>
      <c r="H48" s="1"/>
      <c r="I48" s="1"/>
    </row>
    <row r="49" spans="1:9" ht="36" customHeight="1">
      <c r="A49" s="2" t="s">
        <v>100</v>
      </c>
      <c r="B49" s="2"/>
      <c r="C49" s="2"/>
      <c r="D49" s="2"/>
      <c r="E49" s="2"/>
      <c r="F49" s="1" t="s">
        <v>230</v>
      </c>
      <c r="G49" s="1"/>
      <c r="H49" s="1"/>
      <c r="I49" s="1"/>
    </row>
    <row r="50" spans="1:9" ht="30" customHeight="1">
      <c r="A50" s="2" t="s">
        <v>101</v>
      </c>
      <c r="B50" s="2"/>
      <c r="C50" s="2"/>
      <c r="D50" s="2"/>
      <c r="E50" s="2"/>
      <c r="F50" s="1" t="s">
        <v>231</v>
      </c>
      <c r="G50" s="1"/>
      <c r="H50" s="1"/>
      <c r="I50" s="1"/>
    </row>
  </sheetData>
  <mergeCells count="38">
    <mergeCell ref="A26:E26"/>
    <mergeCell ref="F26:I26"/>
    <mergeCell ref="A27:E27"/>
    <mergeCell ref="F27:I27"/>
    <mergeCell ref="A28:E28"/>
    <mergeCell ref="F28:I28"/>
    <mergeCell ref="A29:E29"/>
    <mergeCell ref="F29:I29"/>
    <mergeCell ref="A30:E30"/>
    <mergeCell ref="F30:I30"/>
    <mergeCell ref="A31:E31"/>
    <mergeCell ref="F31:I31"/>
    <mergeCell ref="A34:E34"/>
    <mergeCell ref="F34:I34"/>
    <mergeCell ref="A35:E35"/>
    <mergeCell ref="F35:I35"/>
    <mergeCell ref="A36:E36"/>
    <mergeCell ref="F36:I36"/>
    <mergeCell ref="A37:E37"/>
    <mergeCell ref="F37:I37"/>
    <mergeCell ref="A38:E38"/>
    <mergeCell ref="F38:I38"/>
    <mergeCell ref="A41:E41"/>
    <mergeCell ref="F41:I41"/>
    <mergeCell ref="A42:E42"/>
    <mergeCell ref="F42:I42"/>
    <mergeCell ref="A43:E43"/>
    <mergeCell ref="F43:I43"/>
    <mergeCell ref="A44:E44"/>
    <mergeCell ref="F44:I44"/>
    <mergeCell ref="A50:E50"/>
    <mergeCell ref="F50:I50"/>
    <mergeCell ref="A45:E45"/>
    <mergeCell ref="F45:I45"/>
    <mergeCell ref="A48:E48"/>
    <mergeCell ref="F48:I48"/>
    <mergeCell ref="A49:E49"/>
    <mergeCell ref="F49:I49"/>
  </mergeCells>
  <phoneticPr fontId="1" type="noConversion"/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9D4D-B871-FD4C-9753-F3091565E26F}">
  <sheetPr>
    <pageSetUpPr fitToPage="1"/>
  </sheetPr>
  <dimension ref="A1:I46"/>
  <sheetViews>
    <sheetView workbookViewId="0"/>
  </sheetViews>
  <sheetFormatPr baseColWidth="10" defaultRowHeight="16"/>
  <cols>
    <col min="1" max="1" width="14.5" customWidth="1"/>
    <col min="2" max="2" width="11" customWidth="1"/>
    <col min="3" max="3" width="10" customWidth="1"/>
    <col min="4" max="4" width="11" customWidth="1"/>
    <col min="5" max="5" width="30" customWidth="1"/>
    <col min="6" max="8" width="11.83203125" customWidth="1"/>
    <col min="9" max="9" width="12.6640625" customWidth="1"/>
  </cols>
  <sheetData>
    <row r="1" spans="1:8" ht="20" customHeight="1">
      <c r="A1" s="8" t="s">
        <v>232</v>
      </c>
    </row>
    <row r="3" spans="1:8">
      <c r="A3" s="9" t="s">
        <v>45</v>
      </c>
    </row>
    <row r="4" spans="1:8">
      <c r="A4" s="10" t="s">
        <v>46</v>
      </c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</row>
    <row r="5" spans="1:8">
      <c r="A5" s="11" t="s">
        <v>102</v>
      </c>
      <c r="B5" s="11" t="s">
        <v>103</v>
      </c>
      <c r="C5" s="13">
        <v>45981</v>
      </c>
      <c r="D5" s="13">
        <v>45982</v>
      </c>
      <c r="E5" s="14">
        <v>58</v>
      </c>
      <c r="F5" s="11" t="s">
        <v>56</v>
      </c>
      <c r="G5" s="11" t="s">
        <v>57</v>
      </c>
      <c r="H5" s="13">
        <v>45983</v>
      </c>
    </row>
    <row r="6" spans="1:8">
      <c r="A6" s="11" t="s">
        <v>104</v>
      </c>
      <c r="B6" s="11" t="s">
        <v>105</v>
      </c>
      <c r="C6" s="13">
        <v>46082</v>
      </c>
      <c r="D6" s="13">
        <v>46083</v>
      </c>
      <c r="E6" s="14">
        <v>57</v>
      </c>
      <c r="F6" s="11" t="s">
        <v>56</v>
      </c>
      <c r="G6" s="11" t="s">
        <v>57</v>
      </c>
      <c r="H6" s="13">
        <v>46084</v>
      </c>
    </row>
    <row r="7" spans="1:8">
      <c r="A7" s="11" t="s">
        <v>106</v>
      </c>
      <c r="B7" s="11" t="s">
        <v>107</v>
      </c>
      <c r="C7" s="13">
        <v>46204</v>
      </c>
      <c r="D7" s="13">
        <v>46205</v>
      </c>
      <c r="E7" s="14">
        <v>58</v>
      </c>
      <c r="F7" s="11" t="s">
        <v>56</v>
      </c>
      <c r="G7" s="11" t="s">
        <v>57</v>
      </c>
      <c r="H7" s="13">
        <v>46206</v>
      </c>
    </row>
    <row r="9" spans="1:8">
      <c r="A9" s="9" t="s">
        <v>62</v>
      </c>
    </row>
    <row r="10" spans="1:8">
      <c r="A10" s="10" t="s">
        <v>63</v>
      </c>
      <c r="B10" s="10" t="s">
        <v>64</v>
      </c>
      <c r="C10" s="10" t="s">
        <v>65</v>
      </c>
      <c r="D10" s="10" t="s">
        <v>66</v>
      </c>
      <c r="E10" s="10" t="s">
        <v>67</v>
      </c>
    </row>
    <row r="11" spans="1:8">
      <c r="A11" s="11" t="s">
        <v>108</v>
      </c>
      <c r="B11" s="13">
        <v>45962</v>
      </c>
      <c r="C11" s="11" t="s">
        <v>69</v>
      </c>
      <c r="D11" s="11" t="s">
        <v>70</v>
      </c>
      <c r="E11" s="11" t="s">
        <v>70</v>
      </c>
    </row>
    <row r="12" spans="1:8">
      <c r="A12" s="11" t="s">
        <v>109</v>
      </c>
      <c r="B12" s="13">
        <v>46091</v>
      </c>
      <c r="C12" s="11" t="s">
        <v>110</v>
      </c>
      <c r="D12" s="11" t="s">
        <v>73</v>
      </c>
      <c r="E12" s="11" t="s">
        <v>70</v>
      </c>
    </row>
    <row r="13" spans="1:8">
      <c r="A13" s="11" t="s">
        <v>111</v>
      </c>
      <c r="B13" s="13">
        <v>46218</v>
      </c>
      <c r="C13" s="11" t="s">
        <v>69</v>
      </c>
      <c r="D13" s="11" t="s">
        <v>70</v>
      </c>
      <c r="E13" s="11" t="s">
        <v>70</v>
      </c>
    </row>
    <row r="15" spans="1:8">
      <c r="A15" s="9" t="s">
        <v>75</v>
      </c>
    </row>
    <row r="16" spans="1:8">
      <c r="A16" s="10" t="s">
        <v>76</v>
      </c>
      <c r="B16" s="10" t="s">
        <v>64</v>
      </c>
      <c r="C16" s="10" t="s">
        <v>77</v>
      </c>
      <c r="D16" s="10" t="s">
        <v>78</v>
      </c>
      <c r="E16" s="10" t="s">
        <v>79</v>
      </c>
    </row>
    <row r="17" spans="1:9">
      <c r="A17" s="11" t="s">
        <v>112</v>
      </c>
      <c r="B17" s="13">
        <v>46032</v>
      </c>
      <c r="C17" s="11">
        <v>30</v>
      </c>
      <c r="D17" s="11" t="s">
        <v>81</v>
      </c>
      <c r="E17" s="11" t="s">
        <v>113</v>
      </c>
    </row>
    <row r="18" spans="1:9">
      <c r="A18" s="11" t="s">
        <v>114</v>
      </c>
      <c r="B18" s="13">
        <v>46101</v>
      </c>
      <c r="C18" s="11">
        <v>30</v>
      </c>
      <c r="D18" s="11" t="s">
        <v>81</v>
      </c>
      <c r="E18" s="11" t="s">
        <v>113</v>
      </c>
    </row>
    <row r="19" spans="1:9">
      <c r="A19" s="11" t="s">
        <v>115</v>
      </c>
      <c r="B19" s="13">
        <v>46188</v>
      </c>
      <c r="C19" s="11">
        <v>30</v>
      </c>
      <c r="D19" s="11" t="s">
        <v>81</v>
      </c>
      <c r="E19" s="11" t="s">
        <v>113</v>
      </c>
    </row>
    <row r="21" spans="1:9">
      <c r="A21" s="9" t="s">
        <v>203</v>
      </c>
    </row>
    <row r="22" spans="1:9" ht="36" customHeight="1">
      <c r="A22" s="2" t="s">
        <v>89</v>
      </c>
      <c r="B22" s="2"/>
      <c r="C22" s="2"/>
      <c r="D22" s="2"/>
      <c r="E22" s="2"/>
      <c r="F22" s="1" t="s">
        <v>116</v>
      </c>
      <c r="G22" s="1"/>
      <c r="H22" s="1"/>
      <c r="I22" s="1"/>
    </row>
    <row r="23" spans="1:9" ht="30" customHeight="1">
      <c r="A23" s="2" t="s">
        <v>205</v>
      </c>
      <c r="B23" s="2"/>
      <c r="C23" s="2"/>
      <c r="D23" s="2"/>
      <c r="E23" s="2"/>
      <c r="F23" s="1" t="s">
        <v>233</v>
      </c>
      <c r="G23" s="1"/>
      <c r="H23" s="1"/>
      <c r="I23" s="1"/>
    </row>
    <row r="24" spans="1:9" ht="30" customHeight="1">
      <c r="A24" s="2" t="s">
        <v>207</v>
      </c>
      <c r="B24" s="2"/>
      <c r="C24" s="2"/>
      <c r="D24" s="2"/>
      <c r="E24" s="2"/>
      <c r="F24" s="1" t="s">
        <v>234</v>
      </c>
      <c r="G24" s="1"/>
      <c r="H24" s="1"/>
      <c r="I24" s="1"/>
    </row>
    <row r="25" spans="1:9" ht="30" customHeight="1">
      <c r="A25" s="2" t="s">
        <v>90</v>
      </c>
      <c r="B25" s="2"/>
      <c r="C25" s="2"/>
      <c r="D25" s="2"/>
      <c r="E25" s="2"/>
      <c r="F25" s="1" t="s">
        <v>117</v>
      </c>
      <c r="G25" s="1"/>
      <c r="H25" s="1"/>
      <c r="I25" s="1"/>
    </row>
    <row r="26" spans="1:9" ht="51" customHeight="1">
      <c r="A26" s="2" t="s">
        <v>92</v>
      </c>
      <c r="B26" s="2"/>
      <c r="C26" s="2"/>
      <c r="D26" s="2"/>
      <c r="E26" s="2"/>
      <c r="F26" s="1" t="s">
        <v>118</v>
      </c>
      <c r="G26" s="1"/>
      <c r="H26" s="1"/>
      <c r="I26" s="1"/>
    </row>
    <row r="27" spans="1:9" ht="51" customHeight="1">
      <c r="A27" s="2" t="s">
        <v>94</v>
      </c>
      <c r="B27" s="2"/>
      <c r="C27" s="2"/>
      <c r="D27" s="2"/>
      <c r="E27" s="2"/>
      <c r="F27" s="1" t="s">
        <v>235</v>
      </c>
      <c r="G27" s="1"/>
      <c r="H27" s="1"/>
      <c r="I27" s="1"/>
    </row>
    <row r="29" spans="1:9">
      <c r="A29" s="9" t="s">
        <v>210</v>
      </c>
    </row>
    <row r="30" spans="1:9" ht="51" customHeight="1">
      <c r="A30" s="2" t="s">
        <v>211</v>
      </c>
      <c r="B30" s="2"/>
      <c r="C30" s="2"/>
      <c r="D30" s="2"/>
      <c r="E30" s="2"/>
      <c r="F30" s="1" t="s">
        <v>236</v>
      </c>
      <c r="G30" s="1"/>
      <c r="H30" s="1"/>
      <c r="I30" s="1"/>
    </row>
    <row r="31" spans="1:9" ht="66" customHeight="1">
      <c r="A31" s="2" t="s">
        <v>213</v>
      </c>
      <c r="B31" s="2"/>
      <c r="C31" s="2"/>
      <c r="D31" s="2"/>
      <c r="E31" s="2"/>
      <c r="F31" s="1" t="s">
        <v>237</v>
      </c>
      <c r="G31" s="1"/>
      <c r="H31" s="1"/>
      <c r="I31" s="1"/>
    </row>
    <row r="32" spans="1:9" ht="36" customHeight="1">
      <c r="A32" s="2" t="s">
        <v>95</v>
      </c>
      <c r="B32" s="2"/>
      <c r="C32" s="2"/>
      <c r="D32" s="2"/>
      <c r="E32" s="2"/>
      <c r="F32" s="1" t="s">
        <v>119</v>
      </c>
      <c r="G32" s="1"/>
      <c r="H32" s="1"/>
      <c r="I32" s="1"/>
    </row>
    <row r="33" spans="1:9" ht="30" customHeight="1">
      <c r="A33" s="2" t="s">
        <v>215</v>
      </c>
      <c r="B33" s="2"/>
      <c r="C33" s="2"/>
      <c r="D33" s="2"/>
      <c r="E33" s="2"/>
      <c r="F33" s="1" t="s">
        <v>238</v>
      </c>
      <c r="G33" s="1"/>
      <c r="H33" s="1"/>
      <c r="I33" s="1"/>
    </row>
    <row r="34" spans="1:9" ht="30" customHeight="1">
      <c r="A34" s="2" t="s">
        <v>97</v>
      </c>
      <c r="B34" s="2"/>
      <c r="C34" s="2"/>
      <c r="D34" s="2"/>
      <c r="E34" s="2"/>
      <c r="F34" s="1" t="s">
        <v>120</v>
      </c>
      <c r="G34" s="1"/>
      <c r="H34" s="1"/>
      <c r="I34" s="1"/>
    </row>
    <row r="36" spans="1:9">
      <c r="A36" s="9" t="s">
        <v>218</v>
      </c>
    </row>
    <row r="37" spans="1:9" ht="36" customHeight="1">
      <c r="A37" s="2" t="s">
        <v>98</v>
      </c>
      <c r="B37" s="2"/>
      <c r="C37" s="2"/>
      <c r="D37" s="2"/>
      <c r="E37" s="2"/>
      <c r="F37" s="1" t="s">
        <v>239</v>
      </c>
      <c r="G37" s="1"/>
      <c r="H37" s="1"/>
      <c r="I37" s="1"/>
    </row>
    <row r="38" spans="1:9" ht="30" customHeight="1">
      <c r="A38" s="2" t="s">
        <v>220</v>
      </c>
      <c r="B38" s="2"/>
      <c r="C38" s="2"/>
      <c r="D38" s="2"/>
      <c r="E38" s="2"/>
      <c r="F38" s="1" t="s">
        <v>221</v>
      </c>
      <c r="G38" s="1"/>
      <c r="H38" s="1"/>
      <c r="I38" s="1"/>
    </row>
    <row r="39" spans="1:9" ht="30" customHeight="1">
      <c r="A39" s="2" t="s">
        <v>222</v>
      </c>
      <c r="B39" s="2"/>
      <c r="C39" s="2"/>
      <c r="D39" s="2"/>
      <c r="E39" s="2"/>
      <c r="F39" s="1" t="s">
        <v>240</v>
      </c>
      <c r="G39" s="1"/>
      <c r="H39" s="1"/>
      <c r="I39" s="1"/>
    </row>
    <row r="40" spans="1:9" ht="30" customHeight="1">
      <c r="A40" s="2" t="s">
        <v>224</v>
      </c>
      <c r="B40" s="2"/>
      <c r="C40" s="2"/>
      <c r="D40" s="2"/>
      <c r="E40" s="2"/>
      <c r="F40" s="1" t="s">
        <v>241</v>
      </c>
      <c r="G40" s="1"/>
      <c r="H40" s="1"/>
      <c r="I40" s="1"/>
    </row>
    <row r="41" spans="1:9" ht="36" customHeight="1">
      <c r="A41" s="2" t="s">
        <v>226</v>
      </c>
      <c r="B41" s="2"/>
      <c r="C41" s="2"/>
      <c r="D41" s="2"/>
      <c r="E41" s="2"/>
      <c r="F41" s="1" t="s">
        <v>242</v>
      </c>
      <c r="G41" s="1"/>
      <c r="H41" s="1"/>
      <c r="I41" s="1"/>
    </row>
    <row r="43" spans="1:9">
      <c r="A43" s="9" t="s">
        <v>228</v>
      </c>
    </row>
    <row r="44" spans="1:9" ht="36" customHeight="1">
      <c r="A44" s="2" t="s">
        <v>99</v>
      </c>
      <c r="B44" s="2"/>
      <c r="C44" s="2"/>
      <c r="D44" s="2"/>
      <c r="E44" s="2"/>
      <c r="F44" s="1" t="s">
        <v>243</v>
      </c>
      <c r="G44" s="1"/>
      <c r="H44" s="1"/>
      <c r="I44" s="1"/>
    </row>
    <row r="45" spans="1:9" ht="36" customHeight="1">
      <c r="A45" s="2" t="s">
        <v>100</v>
      </c>
      <c r="B45" s="2"/>
      <c r="C45" s="2"/>
      <c r="D45" s="2"/>
      <c r="E45" s="2"/>
      <c r="F45" s="1" t="s">
        <v>244</v>
      </c>
      <c r="G45" s="1"/>
      <c r="H45" s="1"/>
      <c r="I45" s="1"/>
    </row>
    <row r="46" spans="1:9" ht="30" customHeight="1">
      <c r="A46" s="2" t="s">
        <v>101</v>
      </c>
      <c r="B46" s="2"/>
      <c r="C46" s="2"/>
      <c r="D46" s="2"/>
      <c r="E46" s="2"/>
      <c r="F46" s="1" t="s">
        <v>231</v>
      </c>
      <c r="G46" s="1"/>
      <c r="H46" s="1"/>
      <c r="I46" s="1"/>
    </row>
  </sheetData>
  <mergeCells count="38">
    <mergeCell ref="A22:E22"/>
    <mergeCell ref="F22:I22"/>
    <mergeCell ref="A23:E23"/>
    <mergeCell ref="F23:I23"/>
    <mergeCell ref="A24:E24"/>
    <mergeCell ref="F24:I24"/>
    <mergeCell ref="A25:E25"/>
    <mergeCell ref="F25:I25"/>
    <mergeCell ref="A26:E26"/>
    <mergeCell ref="F26:I26"/>
    <mergeCell ref="A27:E27"/>
    <mergeCell ref="F27:I27"/>
    <mergeCell ref="A30:E30"/>
    <mergeCell ref="F30:I30"/>
    <mergeCell ref="A31:E31"/>
    <mergeCell ref="F31:I31"/>
    <mergeCell ref="A32:E32"/>
    <mergeCell ref="F32:I32"/>
    <mergeCell ref="A33:E33"/>
    <mergeCell ref="F33:I33"/>
    <mergeCell ref="A34:E34"/>
    <mergeCell ref="F34:I34"/>
    <mergeCell ref="A37:E37"/>
    <mergeCell ref="F37:I37"/>
    <mergeCell ref="A38:E38"/>
    <mergeCell ref="F38:I38"/>
    <mergeCell ref="A39:E39"/>
    <mergeCell ref="F39:I39"/>
    <mergeCell ref="A40:E40"/>
    <mergeCell ref="F40:I40"/>
    <mergeCell ref="A46:E46"/>
    <mergeCell ref="F46:I46"/>
    <mergeCell ref="A41:E41"/>
    <mergeCell ref="F41:I41"/>
    <mergeCell ref="A44:E44"/>
    <mergeCell ref="F44:I44"/>
    <mergeCell ref="A45:E45"/>
    <mergeCell ref="F45:I45"/>
  </mergeCells>
  <phoneticPr fontId="1" type="noConversion"/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34AA-7274-C044-B2D0-14148D446BA1}">
  <sheetPr>
    <pageSetUpPr fitToPage="1"/>
  </sheetPr>
  <dimension ref="A1:I47"/>
  <sheetViews>
    <sheetView workbookViewId="0"/>
  </sheetViews>
  <sheetFormatPr baseColWidth="10" defaultRowHeight="16"/>
  <cols>
    <col min="1" max="1" width="14.5" customWidth="1"/>
    <col min="2" max="2" width="11" customWidth="1"/>
    <col min="3" max="3" width="10" customWidth="1"/>
    <col min="4" max="4" width="11" customWidth="1"/>
    <col min="5" max="5" width="30" customWidth="1"/>
    <col min="6" max="8" width="11.83203125" customWidth="1"/>
    <col min="9" max="9" width="12.6640625" customWidth="1"/>
  </cols>
  <sheetData>
    <row r="1" spans="1:8" ht="22" customHeight="1">
      <c r="A1" s="8" t="s">
        <v>245</v>
      </c>
    </row>
    <row r="3" spans="1:8">
      <c r="A3" s="9" t="s">
        <v>45</v>
      </c>
    </row>
    <row r="4" spans="1:8">
      <c r="A4" s="10" t="s">
        <v>46</v>
      </c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</row>
    <row r="5" spans="1:8">
      <c r="A5" s="11" t="s">
        <v>121</v>
      </c>
      <c r="B5" s="11" t="s">
        <v>122</v>
      </c>
      <c r="C5" s="13">
        <v>45818</v>
      </c>
      <c r="D5" s="13">
        <v>45819</v>
      </c>
      <c r="E5" s="14">
        <v>49</v>
      </c>
      <c r="F5" s="11" t="s">
        <v>56</v>
      </c>
      <c r="G5" s="11" t="s">
        <v>57</v>
      </c>
      <c r="H5" s="13">
        <v>45820</v>
      </c>
    </row>
    <row r="6" spans="1:8">
      <c r="A6" s="11" t="s">
        <v>123</v>
      </c>
      <c r="B6" s="11" t="s">
        <v>124</v>
      </c>
      <c r="C6" s="13">
        <v>45992</v>
      </c>
      <c r="D6" s="13">
        <v>45993</v>
      </c>
      <c r="E6" s="14">
        <v>51</v>
      </c>
      <c r="F6" s="11" t="s">
        <v>56</v>
      </c>
      <c r="G6" s="11" t="s">
        <v>57</v>
      </c>
      <c r="H6" s="13">
        <v>45994</v>
      </c>
    </row>
    <row r="8" spans="1:8">
      <c r="A8" s="9" t="s">
        <v>62</v>
      </c>
    </row>
    <row r="9" spans="1:8">
      <c r="A9" s="10" t="s">
        <v>63</v>
      </c>
      <c r="B9" s="10" t="s">
        <v>64</v>
      </c>
      <c r="C9" s="10" t="s">
        <v>65</v>
      </c>
      <c r="D9" s="10" t="s">
        <v>66</v>
      </c>
      <c r="E9" s="10" t="s">
        <v>67</v>
      </c>
    </row>
    <row r="10" spans="1:8">
      <c r="A10" s="11" t="s">
        <v>125</v>
      </c>
      <c r="B10" s="13">
        <v>45996</v>
      </c>
      <c r="C10" s="11" t="s">
        <v>69</v>
      </c>
      <c r="D10" s="11" t="s">
        <v>70</v>
      </c>
      <c r="E10" s="11" t="s">
        <v>70</v>
      </c>
    </row>
    <row r="11" spans="1:8">
      <c r="A11" s="11" t="s">
        <v>126</v>
      </c>
      <c r="B11" s="13">
        <v>46174</v>
      </c>
      <c r="C11" s="11" t="s">
        <v>69</v>
      </c>
      <c r="D11" s="11" t="s">
        <v>70</v>
      </c>
      <c r="E11" s="11" t="s">
        <v>70</v>
      </c>
    </row>
    <row r="13" spans="1:8">
      <c r="A13" s="9" t="s">
        <v>75</v>
      </c>
    </row>
    <row r="14" spans="1:8">
      <c r="A14" s="10" t="s">
        <v>76</v>
      </c>
      <c r="B14" s="10" t="s">
        <v>64</v>
      </c>
      <c r="C14" s="10" t="s">
        <v>77</v>
      </c>
      <c r="D14" s="10" t="s">
        <v>78</v>
      </c>
      <c r="E14" s="10" t="s">
        <v>79</v>
      </c>
    </row>
    <row r="15" spans="1:8">
      <c r="A15" s="11" t="s">
        <v>127</v>
      </c>
      <c r="B15" s="13">
        <v>46082</v>
      </c>
      <c r="C15" s="11">
        <v>30</v>
      </c>
      <c r="D15" s="11" t="s">
        <v>81</v>
      </c>
      <c r="E15" s="11" t="s">
        <v>113</v>
      </c>
    </row>
    <row r="16" spans="1:8">
      <c r="A16" s="11" t="s">
        <v>128</v>
      </c>
      <c r="B16" s="13">
        <v>46112</v>
      </c>
      <c r="C16" s="11">
        <v>30</v>
      </c>
      <c r="D16" s="11" t="s">
        <v>81</v>
      </c>
      <c r="E16" s="11" t="s">
        <v>113</v>
      </c>
    </row>
    <row r="17" spans="1:9">
      <c r="A17" s="11" t="s">
        <v>129</v>
      </c>
      <c r="B17" s="13">
        <v>46142</v>
      </c>
      <c r="C17" s="11">
        <v>30</v>
      </c>
      <c r="D17" s="11" t="s">
        <v>81</v>
      </c>
      <c r="E17" s="11" t="s">
        <v>113</v>
      </c>
    </row>
    <row r="18" spans="1:9">
      <c r="A18" s="11" t="s">
        <v>130</v>
      </c>
      <c r="B18" s="13">
        <v>46172</v>
      </c>
      <c r="C18" s="11">
        <v>30</v>
      </c>
      <c r="D18" s="11" t="s">
        <v>81</v>
      </c>
      <c r="E18" s="11" t="s">
        <v>113</v>
      </c>
    </row>
    <row r="19" spans="1:9">
      <c r="A19" s="11" t="s">
        <v>131</v>
      </c>
      <c r="B19" s="13">
        <v>46202</v>
      </c>
      <c r="C19" s="11">
        <v>30</v>
      </c>
      <c r="D19" s="11" t="s">
        <v>81</v>
      </c>
      <c r="E19" s="11" t="s">
        <v>113</v>
      </c>
    </row>
    <row r="20" spans="1:9">
      <c r="A20" s="11" t="s">
        <v>132</v>
      </c>
      <c r="B20" s="13">
        <v>46232</v>
      </c>
      <c r="C20" s="11">
        <v>30</v>
      </c>
      <c r="D20" s="11" t="s">
        <v>81</v>
      </c>
      <c r="E20" s="11" t="s">
        <v>113</v>
      </c>
    </row>
    <row r="22" spans="1:9">
      <c r="A22" s="9" t="s">
        <v>203</v>
      </c>
    </row>
    <row r="23" spans="1:9" ht="36" customHeight="1">
      <c r="A23" s="2" t="s">
        <v>89</v>
      </c>
      <c r="B23" s="2"/>
      <c r="C23" s="2"/>
      <c r="D23" s="2"/>
      <c r="E23" s="2"/>
      <c r="F23" s="1" t="s">
        <v>133</v>
      </c>
      <c r="G23" s="1"/>
      <c r="H23" s="1"/>
      <c r="I23" s="1"/>
    </row>
    <row r="24" spans="1:9" ht="36" customHeight="1">
      <c r="A24" s="2" t="s">
        <v>205</v>
      </c>
      <c r="B24" s="2"/>
      <c r="C24" s="2"/>
      <c r="D24" s="2"/>
      <c r="E24" s="2"/>
      <c r="F24" s="1" t="s">
        <v>246</v>
      </c>
      <c r="G24" s="1"/>
      <c r="H24" s="1"/>
      <c r="I24" s="1"/>
    </row>
    <row r="25" spans="1:9" ht="36" customHeight="1">
      <c r="A25" s="2" t="s">
        <v>207</v>
      </c>
      <c r="B25" s="2"/>
      <c r="C25" s="2"/>
      <c r="D25" s="2"/>
      <c r="E25" s="2"/>
      <c r="F25" s="1" t="s">
        <v>247</v>
      </c>
      <c r="G25" s="1"/>
      <c r="H25" s="1"/>
      <c r="I25" s="1"/>
    </row>
    <row r="26" spans="1:9" ht="30" customHeight="1">
      <c r="A26" s="2" t="s">
        <v>90</v>
      </c>
      <c r="B26" s="2"/>
      <c r="C26" s="2"/>
      <c r="D26" s="2"/>
      <c r="E26" s="2"/>
      <c r="F26" s="1" t="s">
        <v>248</v>
      </c>
      <c r="G26" s="1"/>
      <c r="H26" s="1"/>
      <c r="I26" s="1"/>
    </row>
    <row r="27" spans="1:9" ht="36" customHeight="1">
      <c r="A27" s="2" t="s">
        <v>92</v>
      </c>
      <c r="B27" s="2"/>
      <c r="C27" s="2"/>
      <c r="D27" s="2"/>
      <c r="E27" s="2"/>
      <c r="F27" s="1" t="s">
        <v>248</v>
      </c>
      <c r="G27" s="1"/>
      <c r="H27" s="1"/>
      <c r="I27" s="1"/>
    </row>
    <row r="28" spans="1:9" ht="30" customHeight="1">
      <c r="A28" s="2" t="s">
        <v>94</v>
      </c>
      <c r="B28" s="2"/>
      <c r="C28" s="2"/>
      <c r="D28" s="2"/>
      <c r="E28" s="2"/>
      <c r="F28" s="1" t="s">
        <v>30</v>
      </c>
      <c r="G28" s="1"/>
      <c r="H28" s="1"/>
      <c r="I28" s="1"/>
    </row>
    <row r="30" spans="1:9">
      <c r="A30" s="9" t="s">
        <v>210</v>
      </c>
    </row>
    <row r="31" spans="1:9" ht="36" customHeight="1">
      <c r="A31" s="2" t="s">
        <v>211</v>
      </c>
      <c r="B31" s="2"/>
      <c r="C31" s="2"/>
      <c r="D31" s="2"/>
      <c r="E31" s="2"/>
      <c r="F31" s="1" t="s">
        <v>249</v>
      </c>
      <c r="G31" s="1"/>
      <c r="H31" s="1"/>
      <c r="I31" s="1"/>
    </row>
    <row r="32" spans="1:9" ht="96" customHeight="1">
      <c r="A32" s="2" t="s">
        <v>213</v>
      </c>
      <c r="B32" s="2"/>
      <c r="C32" s="2"/>
      <c r="D32" s="2"/>
      <c r="E32" s="2"/>
      <c r="F32" s="1" t="s">
        <v>250</v>
      </c>
      <c r="G32" s="1"/>
      <c r="H32" s="1"/>
      <c r="I32" s="1"/>
    </row>
    <row r="33" spans="1:9" ht="36" customHeight="1">
      <c r="A33" s="2" t="s">
        <v>95</v>
      </c>
      <c r="B33" s="2"/>
      <c r="C33" s="2"/>
      <c r="D33" s="2"/>
      <c r="E33" s="2"/>
      <c r="F33" s="1" t="s">
        <v>251</v>
      </c>
      <c r="G33" s="1"/>
      <c r="H33" s="1"/>
      <c r="I33" s="1"/>
    </row>
    <row r="34" spans="1:9" ht="30" customHeight="1">
      <c r="A34" s="2" t="s">
        <v>215</v>
      </c>
      <c r="B34" s="2"/>
      <c r="C34" s="2"/>
      <c r="D34" s="2"/>
      <c r="E34" s="2"/>
      <c r="F34" s="1" t="s">
        <v>252</v>
      </c>
      <c r="G34" s="1"/>
      <c r="H34" s="1"/>
      <c r="I34" s="1"/>
    </row>
    <row r="35" spans="1:9" ht="30" customHeight="1">
      <c r="A35" s="2" t="s">
        <v>97</v>
      </c>
      <c r="B35" s="2"/>
      <c r="C35" s="2"/>
      <c r="D35" s="2"/>
      <c r="E35" s="2"/>
      <c r="F35" s="1" t="s">
        <v>253</v>
      </c>
      <c r="G35" s="1"/>
      <c r="H35" s="1"/>
      <c r="I35" s="1"/>
    </row>
    <row r="37" spans="1:9">
      <c r="A37" s="9" t="s">
        <v>218</v>
      </c>
    </row>
    <row r="38" spans="1:9" ht="51" customHeight="1">
      <c r="A38" s="2" t="s">
        <v>98</v>
      </c>
      <c r="B38" s="2"/>
      <c r="C38" s="2"/>
      <c r="D38" s="2"/>
      <c r="E38" s="2"/>
      <c r="F38" s="1" t="s">
        <v>134</v>
      </c>
      <c r="G38" s="1"/>
      <c r="H38" s="1"/>
      <c r="I38" s="1"/>
    </row>
    <row r="39" spans="1:9" ht="30" customHeight="1">
      <c r="A39" s="2" t="s">
        <v>220</v>
      </c>
      <c r="B39" s="2"/>
      <c r="C39" s="2"/>
      <c r="D39" s="2"/>
      <c r="E39" s="2"/>
      <c r="F39" s="1" t="s">
        <v>254</v>
      </c>
      <c r="G39" s="1"/>
      <c r="H39" s="1"/>
      <c r="I39" s="1"/>
    </row>
    <row r="40" spans="1:9" ht="36" customHeight="1">
      <c r="A40" s="2" t="s">
        <v>222</v>
      </c>
      <c r="B40" s="2"/>
      <c r="C40" s="2"/>
      <c r="D40" s="2"/>
      <c r="E40" s="2"/>
      <c r="F40" s="1" t="s">
        <v>135</v>
      </c>
      <c r="G40" s="1"/>
      <c r="H40" s="1"/>
      <c r="I40" s="1"/>
    </row>
    <row r="41" spans="1:9" ht="30" customHeight="1">
      <c r="A41" s="2" t="s">
        <v>224</v>
      </c>
      <c r="B41" s="2"/>
      <c r="C41" s="2"/>
      <c r="D41" s="2"/>
      <c r="E41" s="2"/>
      <c r="F41" s="1" t="s">
        <v>33</v>
      </c>
      <c r="G41" s="1"/>
      <c r="H41" s="1"/>
      <c r="I41" s="1"/>
    </row>
    <row r="42" spans="1:9" ht="36" customHeight="1">
      <c r="A42" s="2" t="s">
        <v>226</v>
      </c>
      <c r="B42" s="2"/>
      <c r="C42" s="2"/>
      <c r="D42" s="2"/>
      <c r="E42" s="2"/>
      <c r="F42" s="1" t="s">
        <v>255</v>
      </c>
      <c r="G42" s="1"/>
      <c r="H42" s="1"/>
      <c r="I42" s="1"/>
    </row>
    <row r="44" spans="1:9">
      <c r="A44" s="9" t="s">
        <v>228</v>
      </c>
    </row>
    <row r="45" spans="1:9" ht="36" customHeight="1">
      <c r="A45" s="2" t="s">
        <v>99</v>
      </c>
      <c r="B45" s="2"/>
      <c r="C45" s="2"/>
      <c r="D45" s="2"/>
      <c r="E45" s="2"/>
      <c r="F45" s="1" t="s">
        <v>256</v>
      </c>
      <c r="G45" s="1"/>
      <c r="H45" s="1"/>
      <c r="I45" s="1"/>
    </row>
    <row r="46" spans="1:9" ht="36" customHeight="1">
      <c r="A46" s="2" t="s">
        <v>100</v>
      </c>
      <c r="B46" s="2"/>
      <c r="C46" s="2"/>
      <c r="D46" s="2"/>
      <c r="E46" s="2"/>
      <c r="F46" s="1" t="s">
        <v>244</v>
      </c>
      <c r="G46" s="1"/>
      <c r="H46" s="1"/>
      <c r="I46" s="1"/>
    </row>
    <row r="47" spans="1:9" ht="30" customHeight="1">
      <c r="A47" s="2" t="s">
        <v>101</v>
      </c>
      <c r="B47" s="2"/>
      <c r="C47" s="2"/>
      <c r="D47" s="2"/>
      <c r="E47" s="2"/>
      <c r="F47" s="1" t="s">
        <v>231</v>
      </c>
      <c r="G47" s="1"/>
      <c r="H47" s="1"/>
      <c r="I47" s="1"/>
    </row>
  </sheetData>
  <mergeCells count="38">
    <mergeCell ref="A23:E23"/>
    <mergeCell ref="F23:I23"/>
    <mergeCell ref="A24:E24"/>
    <mergeCell ref="F24:I24"/>
    <mergeCell ref="A25:E25"/>
    <mergeCell ref="F25:I25"/>
    <mergeCell ref="A26:E26"/>
    <mergeCell ref="F26:I26"/>
    <mergeCell ref="A27:E27"/>
    <mergeCell ref="F27:I27"/>
    <mergeCell ref="A28:E28"/>
    <mergeCell ref="F28:I28"/>
    <mergeCell ref="A31:E31"/>
    <mergeCell ref="F31:I31"/>
    <mergeCell ref="A32:E32"/>
    <mergeCell ref="F32:I32"/>
    <mergeCell ref="A33:E33"/>
    <mergeCell ref="F33:I33"/>
    <mergeCell ref="A34:E34"/>
    <mergeCell ref="F34:I34"/>
    <mergeCell ref="A35:E35"/>
    <mergeCell ref="F35:I35"/>
    <mergeCell ref="A38:E38"/>
    <mergeCell ref="F38:I38"/>
    <mergeCell ref="A39:E39"/>
    <mergeCell ref="F39:I39"/>
    <mergeCell ref="A40:E40"/>
    <mergeCell ref="F40:I40"/>
    <mergeCell ref="A41:E41"/>
    <mergeCell ref="F41:I41"/>
    <mergeCell ref="A47:E47"/>
    <mergeCell ref="F47:I47"/>
    <mergeCell ref="A42:E42"/>
    <mergeCell ref="F42:I42"/>
    <mergeCell ref="A45:E45"/>
    <mergeCell ref="F45:I45"/>
    <mergeCell ref="A46:E46"/>
    <mergeCell ref="F46:I46"/>
  </mergeCells>
  <phoneticPr fontId="1" type="noConversion"/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C429-F043-5845-A66F-E85F38542310}">
  <sheetPr>
    <pageSetUpPr fitToPage="1"/>
  </sheetPr>
  <dimension ref="A1:I52"/>
  <sheetViews>
    <sheetView workbookViewId="0"/>
  </sheetViews>
  <sheetFormatPr baseColWidth="10" defaultRowHeight="16"/>
  <cols>
    <col min="1" max="1" width="14.5" customWidth="1"/>
    <col min="2" max="2" width="11" customWidth="1"/>
    <col min="3" max="3" width="10" customWidth="1"/>
    <col min="4" max="4" width="11" customWidth="1"/>
    <col min="5" max="5" width="30" customWidth="1"/>
    <col min="6" max="8" width="11.83203125" customWidth="1"/>
    <col min="9" max="9" width="12.6640625" customWidth="1"/>
  </cols>
  <sheetData>
    <row r="1" spans="1:8" ht="19" customHeight="1">
      <c r="A1" s="8" t="s">
        <v>257</v>
      </c>
    </row>
    <row r="3" spans="1:8">
      <c r="A3" s="9" t="s">
        <v>45</v>
      </c>
    </row>
    <row r="4" spans="1:8">
      <c r="A4" s="10" t="s">
        <v>46</v>
      </c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</row>
    <row r="5" spans="1:8">
      <c r="A5" s="11" t="s">
        <v>136</v>
      </c>
      <c r="B5" s="11" t="s">
        <v>137</v>
      </c>
      <c r="C5" s="13">
        <v>45928</v>
      </c>
      <c r="D5" s="13">
        <v>45929</v>
      </c>
      <c r="E5" s="14">
        <v>49</v>
      </c>
      <c r="F5" s="11" t="s">
        <v>56</v>
      </c>
      <c r="G5" s="11" t="s">
        <v>57</v>
      </c>
      <c r="H5" s="13">
        <v>45930</v>
      </c>
    </row>
    <row r="6" spans="1:8">
      <c r="A6" s="11" t="s">
        <v>138</v>
      </c>
      <c r="B6" s="11" t="s">
        <v>139</v>
      </c>
      <c r="C6" s="13">
        <v>46019</v>
      </c>
      <c r="D6" s="13">
        <v>46020</v>
      </c>
      <c r="E6" s="14">
        <v>48</v>
      </c>
      <c r="F6" s="11" t="s">
        <v>56</v>
      </c>
      <c r="G6" s="11" t="s">
        <v>57</v>
      </c>
      <c r="H6" s="13">
        <v>46021</v>
      </c>
    </row>
    <row r="7" spans="1:8">
      <c r="A7" s="11" t="s">
        <v>140</v>
      </c>
      <c r="B7" s="11" t="s">
        <v>141</v>
      </c>
      <c r="C7" s="13">
        <v>46109</v>
      </c>
      <c r="D7" s="13">
        <v>46110</v>
      </c>
      <c r="E7" s="14">
        <v>50</v>
      </c>
      <c r="F7" s="11" t="s">
        <v>56</v>
      </c>
      <c r="G7" s="11" t="s">
        <v>57</v>
      </c>
      <c r="H7" s="13">
        <v>46111</v>
      </c>
    </row>
    <row r="8" spans="1:8">
      <c r="A8" s="11" t="s">
        <v>142</v>
      </c>
      <c r="B8" s="11" t="s">
        <v>143</v>
      </c>
      <c r="C8" s="13">
        <v>46201</v>
      </c>
      <c r="D8" s="13">
        <v>46202</v>
      </c>
      <c r="E8" s="14">
        <v>48</v>
      </c>
      <c r="F8" s="11" t="s">
        <v>56</v>
      </c>
      <c r="G8" s="11" t="s">
        <v>57</v>
      </c>
      <c r="H8" s="13">
        <v>46203</v>
      </c>
    </row>
    <row r="10" spans="1:8">
      <c r="A10" s="9" t="s">
        <v>62</v>
      </c>
    </row>
    <row r="11" spans="1:8">
      <c r="A11" s="10" t="s">
        <v>63</v>
      </c>
      <c r="B11" s="10" t="s">
        <v>64</v>
      </c>
      <c r="C11" s="10" t="s">
        <v>65</v>
      </c>
      <c r="D11" s="10" t="s">
        <v>66</v>
      </c>
      <c r="E11" s="10" t="s">
        <v>67</v>
      </c>
    </row>
    <row r="12" spans="1:8">
      <c r="A12" s="11" t="s">
        <v>144</v>
      </c>
      <c r="B12" s="13">
        <v>45935</v>
      </c>
      <c r="C12" s="11" t="s">
        <v>69</v>
      </c>
      <c r="D12" s="11" t="s">
        <v>70</v>
      </c>
      <c r="E12" s="11" t="s">
        <v>70</v>
      </c>
    </row>
    <row r="13" spans="1:8">
      <c r="A13" s="11" t="s">
        <v>145</v>
      </c>
      <c r="B13" s="13">
        <v>46027</v>
      </c>
      <c r="C13" s="11" t="s">
        <v>72</v>
      </c>
      <c r="D13" s="11" t="s">
        <v>70</v>
      </c>
      <c r="E13" s="11" t="s">
        <v>73</v>
      </c>
    </row>
    <row r="14" spans="1:8">
      <c r="A14" s="11" t="s">
        <v>146</v>
      </c>
      <c r="B14" s="13">
        <v>46117</v>
      </c>
      <c r="C14" s="11" t="s">
        <v>69</v>
      </c>
      <c r="D14" s="11" t="s">
        <v>70</v>
      </c>
      <c r="E14" s="11" t="s">
        <v>70</v>
      </c>
    </row>
    <row r="15" spans="1:8">
      <c r="A15" s="11" t="s">
        <v>147</v>
      </c>
      <c r="B15" s="13">
        <v>46208</v>
      </c>
      <c r="C15" s="11" t="s">
        <v>110</v>
      </c>
      <c r="D15" s="11" t="s">
        <v>73</v>
      </c>
      <c r="E15" s="11" t="s">
        <v>70</v>
      </c>
    </row>
    <row r="17" spans="1:9">
      <c r="A17" s="9" t="s">
        <v>75</v>
      </c>
    </row>
    <row r="18" spans="1:9">
      <c r="A18" s="10" t="s">
        <v>76</v>
      </c>
      <c r="B18" s="10" t="s">
        <v>64</v>
      </c>
      <c r="C18" s="10" t="s">
        <v>77</v>
      </c>
      <c r="D18" s="10" t="s">
        <v>78</v>
      </c>
      <c r="E18" s="10" t="s">
        <v>79</v>
      </c>
    </row>
    <row r="19" spans="1:9">
      <c r="A19" s="11" t="s">
        <v>148</v>
      </c>
      <c r="B19" s="13">
        <v>46068</v>
      </c>
      <c r="C19" s="11">
        <v>30</v>
      </c>
      <c r="D19" s="11" t="s">
        <v>81</v>
      </c>
      <c r="E19" s="11" t="s">
        <v>82</v>
      </c>
    </row>
    <row r="20" spans="1:9">
      <c r="A20" s="11" t="s">
        <v>149</v>
      </c>
      <c r="B20" s="13">
        <v>46098</v>
      </c>
      <c r="C20" s="11">
        <v>30</v>
      </c>
      <c r="D20" s="11" t="s">
        <v>81</v>
      </c>
      <c r="E20" s="11" t="s">
        <v>82</v>
      </c>
    </row>
    <row r="21" spans="1:9">
      <c r="A21" s="11" t="s">
        <v>150</v>
      </c>
      <c r="B21" s="13">
        <v>46128</v>
      </c>
      <c r="C21" s="11">
        <v>30</v>
      </c>
      <c r="D21" s="11" t="s">
        <v>81</v>
      </c>
      <c r="E21" s="11" t="s">
        <v>82</v>
      </c>
    </row>
    <row r="22" spans="1:9">
      <c r="A22" s="11" t="s">
        <v>151</v>
      </c>
      <c r="B22" s="13">
        <v>46158</v>
      </c>
      <c r="C22" s="11">
        <v>30</v>
      </c>
      <c r="D22" s="11" t="s">
        <v>81</v>
      </c>
      <c r="E22" s="11" t="s">
        <v>82</v>
      </c>
    </row>
    <row r="23" spans="1:9">
      <c r="A23" s="11" t="s">
        <v>152</v>
      </c>
      <c r="B23" s="13">
        <v>46188</v>
      </c>
      <c r="C23" s="11">
        <v>30</v>
      </c>
      <c r="D23" s="11" t="s">
        <v>81</v>
      </c>
      <c r="E23" s="11" t="s">
        <v>82</v>
      </c>
    </row>
    <row r="24" spans="1:9">
      <c r="A24" s="11" t="s">
        <v>153</v>
      </c>
      <c r="B24" s="13">
        <v>46218</v>
      </c>
      <c r="C24" s="11">
        <v>30</v>
      </c>
      <c r="D24" s="11" t="s">
        <v>81</v>
      </c>
      <c r="E24" s="11" t="s">
        <v>82</v>
      </c>
    </row>
    <row r="25" spans="1:9">
      <c r="A25" s="11" t="s">
        <v>154</v>
      </c>
      <c r="B25" s="13">
        <v>46248</v>
      </c>
      <c r="C25" s="11">
        <v>30</v>
      </c>
      <c r="D25" s="11" t="s">
        <v>81</v>
      </c>
      <c r="E25" s="11" t="s">
        <v>82</v>
      </c>
    </row>
    <row r="27" spans="1:9">
      <c r="A27" s="9" t="s">
        <v>203</v>
      </c>
    </row>
    <row r="28" spans="1:9" ht="36" customHeight="1">
      <c r="A28" s="2" t="s">
        <v>89</v>
      </c>
      <c r="B28" s="2"/>
      <c r="C28" s="2"/>
      <c r="D28" s="2"/>
      <c r="E28" s="2"/>
      <c r="F28" s="1" t="s">
        <v>155</v>
      </c>
      <c r="G28" s="1"/>
      <c r="H28" s="1"/>
      <c r="I28" s="1"/>
    </row>
    <row r="29" spans="1:9" ht="30" customHeight="1">
      <c r="A29" s="2" t="s">
        <v>205</v>
      </c>
      <c r="B29" s="2"/>
      <c r="C29" s="2"/>
      <c r="D29" s="2"/>
      <c r="E29" s="2"/>
      <c r="F29" s="1" t="s">
        <v>258</v>
      </c>
      <c r="G29" s="1"/>
      <c r="H29" s="1"/>
      <c r="I29" s="1"/>
    </row>
    <row r="30" spans="1:9" ht="30" customHeight="1">
      <c r="A30" s="2" t="s">
        <v>207</v>
      </c>
      <c r="B30" s="2"/>
      <c r="C30" s="2"/>
      <c r="D30" s="2"/>
      <c r="E30" s="2"/>
      <c r="F30" s="1" t="s">
        <v>259</v>
      </c>
      <c r="G30" s="1"/>
      <c r="H30" s="1"/>
      <c r="I30" s="1"/>
    </row>
    <row r="31" spans="1:9" ht="30" customHeight="1">
      <c r="A31" s="2" t="s">
        <v>90</v>
      </c>
      <c r="B31" s="2"/>
      <c r="C31" s="2"/>
      <c r="D31" s="2"/>
      <c r="E31" s="2"/>
      <c r="F31" s="1" t="s">
        <v>260</v>
      </c>
      <c r="G31" s="1"/>
      <c r="H31" s="1"/>
      <c r="I31" s="1"/>
    </row>
    <row r="32" spans="1:9" ht="36" customHeight="1">
      <c r="A32" s="2" t="s">
        <v>92</v>
      </c>
      <c r="B32" s="2"/>
      <c r="C32" s="2"/>
      <c r="D32" s="2"/>
      <c r="E32" s="2"/>
      <c r="F32" s="1" t="s">
        <v>156</v>
      </c>
      <c r="G32" s="1"/>
      <c r="H32" s="1"/>
      <c r="I32" s="1"/>
    </row>
    <row r="33" spans="1:9" ht="30" customHeight="1">
      <c r="A33" s="2" t="s">
        <v>94</v>
      </c>
      <c r="B33" s="2"/>
      <c r="C33" s="2"/>
      <c r="D33" s="2"/>
      <c r="E33" s="2"/>
      <c r="F33" s="1" t="s">
        <v>37</v>
      </c>
      <c r="G33" s="1"/>
      <c r="H33" s="1"/>
      <c r="I33" s="1"/>
    </row>
    <row r="35" spans="1:9">
      <c r="A35" s="9" t="s">
        <v>210</v>
      </c>
    </row>
    <row r="36" spans="1:9" ht="36" customHeight="1">
      <c r="A36" s="2" t="s">
        <v>211</v>
      </c>
      <c r="B36" s="2"/>
      <c r="C36" s="2"/>
      <c r="D36" s="2"/>
      <c r="E36" s="2"/>
      <c r="F36" s="1" t="s">
        <v>261</v>
      </c>
      <c r="G36" s="1"/>
      <c r="H36" s="1"/>
      <c r="I36" s="1"/>
    </row>
    <row r="37" spans="1:9" ht="126" customHeight="1">
      <c r="A37" s="2" t="s">
        <v>213</v>
      </c>
      <c r="B37" s="2"/>
      <c r="C37" s="2"/>
      <c r="D37" s="2"/>
      <c r="E37" s="2"/>
      <c r="F37" s="1" t="s">
        <v>262</v>
      </c>
      <c r="G37" s="1"/>
      <c r="H37" s="1"/>
      <c r="I37" s="1"/>
    </row>
    <row r="38" spans="1:9" ht="36" customHeight="1">
      <c r="A38" s="2" t="s">
        <v>95</v>
      </c>
      <c r="B38" s="2"/>
      <c r="C38" s="2"/>
      <c r="D38" s="2"/>
      <c r="E38" s="2"/>
      <c r="F38" s="1" t="s">
        <v>263</v>
      </c>
      <c r="G38" s="1"/>
      <c r="H38" s="1"/>
      <c r="I38" s="1"/>
    </row>
    <row r="39" spans="1:9" ht="30" customHeight="1">
      <c r="A39" s="2" t="s">
        <v>215</v>
      </c>
      <c r="B39" s="2"/>
      <c r="C39" s="2"/>
      <c r="D39" s="2"/>
      <c r="E39" s="2"/>
      <c r="F39" s="1" t="s">
        <v>264</v>
      </c>
      <c r="G39" s="1"/>
      <c r="H39" s="1"/>
      <c r="I39" s="1"/>
    </row>
    <row r="40" spans="1:9" ht="30" customHeight="1">
      <c r="A40" s="2" t="s">
        <v>97</v>
      </c>
      <c r="B40" s="2"/>
      <c r="C40" s="2"/>
      <c r="D40" s="2"/>
      <c r="E40" s="2"/>
      <c r="F40" s="1" t="s">
        <v>265</v>
      </c>
      <c r="G40" s="1"/>
      <c r="H40" s="1"/>
      <c r="I40" s="1"/>
    </row>
    <row r="42" spans="1:9">
      <c r="A42" s="9" t="s">
        <v>218</v>
      </c>
    </row>
    <row r="43" spans="1:9" ht="36" customHeight="1">
      <c r="A43" s="2" t="s">
        <v>98</v>
      </c>
      <c r="B43" s="2"/>
      <c r="C43" s="2"/>
      <c r="D43" s="2"/>
      <c r="E43" s="2"/>
      <c r="F43" s="1" t="s">
        <v>266</v>
      </c>
      <c r="G43" s="1"/>
      <c r="H43" s="1"/>
      <c r="I43" s="1"/>
    </row>
    <row r="44" spans="1:9" ht="30" customHeight="1">
      <c r="A44" s="2" t="s">
        <v>220</v>
      </c>
      <c r="B44" s="2"/>
      <c r="C44" s="2"/>
      <c r="D44" s="2"/>
      <c r="E44" s="2"/>
      <c r="F44" s="1" t="s">
        <v>267</v>
      </c>
      <c r="G44" s="1"/>
      <c r="H44" s="1"/>
      <c r="I44" s="1"/>
    </row>
    <row r="45" spans="1:9" ht="30" customHeight="1">
      <c r="A45" s="2" t="s">
        <v>222</v>
      </c>
      <c r="B45" s="2"/>
      <c r="C45" s="2"/>
      <c r="D45" s="2"/>
      <c r="E45" s="2"/>
      <c r="F45" s="1" t="s">
        <v>268</v>
      </c>
      <c r="G45" s="1"/>
      <c r="H45" s="1"/>
      <c r="I45" s="1"/>
    </row>
    <row r="46" spans="1:9" ht="30" customHeight="1">
      <c r="A46" s="2" t="s">
        <v>224</v>
      </c>
      <c r="B46" s="2"/>
      <c r="C46" s="2"/>
      <c r="D46" s="2"/>
      <c r="E46" s="2"/>
      <c r="F46" s="1" t="s">
        <v>241</v>
      </c>
      <c r="G46" s="1"/>
      <c r="H46" s="1"/>
      <c r="I46" s="1"/>
    </row>
    <row r="47" spans="1:9" ht="36" customHeight="1">
      <c r="A47" s="2" t="s">
        <v>226</v>
      </c>
      <c r="B47" s="2"/>
      <c r="C47" s="2"/>
      <c r="D47" s="2"/>
      <c r="E47" s="2"/>
      <c r="F47" s="1" t="s">
        <v>269</v>
      </c>
      <c r="G47" s="1"/>
      <c r="H47" s="1"/>
      <c r="I47" s="1"/>
    </row>
    <row r="49" spans="1:9">
      <c r="A49" s="9" t="s">
        <v>228</v>
      </c>
    </row>
    <row r="50" spans="1:9" ht="36" customHeight="1">
      <c r="A50" s="2" t="s">
        <v>99</v>
      </c>
      <c r="B50" s="2"/>
      <c r="C50" s="2"/>
      <c r="D50" s="2"/>
      <c r="E50" s="2"/>
      <c r="F50" s="1" t="s">
        <v>270</v>
      </c>
      <c r="G50" s="1"/>
      <c r="H50" s="1"/>
      <c r="I50" s="1"/>
    </row>
    <row r="51" spans="1:9" ht="36" customHeight="1">
      <c r="A51" s="2" t="s">
        <v>100</v>
      </c>
      <c r="B51" s="2"/>
      <c r="C51" s="2"/>
      <c r="D51" s="2"/>
      <c r="E51" s="2"/>
      <c r="F51" s="1" t="s">
        <v>230</v>
      </c>
      <c r="G51" s="1"/>
      <c r="H51" s="1"/>
      <c r="I51" s="1"/>
    </row>
    <row r="52" spans="1:9" ht="30" customHeight="1">
      <c r="A52" s="2" t="s">
        <v>101</v>
      </c>
      <c r="B52" s="2"/>
      <c r="C52" s="2"/>
      <c r="D52" s="2"/>
      <c r="E52" s="2"/>
      <c r="F52" s="1" t="s">
        <v>231</v>
      </c>
      <c r="G52" s="1"/>
      <c r="H52" s="1"/>
      <c r="I52" s="1"/>
    </row>
  </sheetData>
  <mergeCells count="38">
    <mergeCell ref="A28:E28"/>
    <mergeCell ref="F28:I28"/>
    <mergeCell ref="A29:E29"/>
    <mergeCell ref="F29:I29"/>
    <mergeCell ref="A30:E30"/>
    <mergeCell ref="F30:I30"/>
    <mergeCell ref="A31:E31"/>
    <mergeCell ref="F31:I31"/>
    <mergeCell ref="A32:E32"/>
    <mergeCell ref="F32:I32"/>
    <mergeCell ref="A33:E33"/>
    <mergeCell ref="F33:I33"/>
    <mergeCell ref="A36:E36"/>
    <mergeCell ref="F36:I36"/>
    <mergeCell ref="A37:E37"/>
    <mergeCell ref="F37:I37"/>
    <mergeCell ref="A38:E38"/>
    <mergeCell ref="F38:I38"/>
    <mergeCell ref="A39:E39"/>
    <mergeCell ref="F39:I39"/>
    <mergeCell ref="A40:E40"/>
    <mergeCell ref="F40:I40"/>
    <mergeCell ref="A43:E43"/>
    <mergeCell ref="F43:I43"/>
    <mergeCell ref="A44:E44"/>
    <mergeCell ref="F44:I44"/>
    <mergeCell ref="A45:E45"/>
    <mergeCell ref="F45:I45"/>
    <mergeCell ref="A46:E46"/>
    <mergeCell ref="F46:I46"/>
    <mergeCell ref="A52:E52"/>
    <mergeCell ref="F52:I52"/>
    <mergeCell ref="A47:E47"/>
    <mergeCell ref="F47:I47"/>
    <mergeCell ref="A50:E50"/>
    <mergeCell ref="F50:I50"/>
    <mergeCell ref="A51:E51"/>
    <mergeCell ref="F51:I51"/>
  </mergeCells>
  <phoneticPr fontId="1" type="noConversion"/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FE85-55A0-9547-BEF4-63CBCFDEF1DA}">
  <sheetPr>
    <pageSetUpPr fitToPage="1"/>
  </sheetPr>
  <dimension ref="A1:I41"/>
  <sheetViews>
    <sheetView workbookViewId="0"/>
  </sheetViews>
  <sheetFormatPr baseColWidth="10" defaultRowHeight="16"/>
  <cols>
    <col min="1" max="1" width="14.5" customWidth="1"/>
    <col min="2" max="2" width="11" customWidth="1"/>
    <col min="3" max="3" width="10" customWidth="1"/>
    <col min="4" max="4" width="11" customWidth="1"/>
    <col min="5" max="5" width="30" customWidth="1"/>
    <col min="6" max="8" width="11.83203125" customWidth="1"/>
    <col min="9" max="9" width="12.6640625" customWidth="1"/>
  </cols>
  <sheetData>
    <row r="1" spans="1:8" ht="21" customHeight="1">
      <c r="A1" s="8" t="s">
        <v>271</v>
      </c>
    </row>
    <row r="3" spans="1:8">
      <c r="A3" s="9" t="s">
        <v>45</v>
      </c>
    </row>
    <row r="4" spans="1:8">
      <c r="A4" s="10" t="s">
        <v>46</v>
      </c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</row>
    <row r="5" spans="1:8">
      <c r="A5" s="11" t="s">
        <v>157</v>
      </c>
      <c r="B5" s="11" t="s">
        <v>158</v>
      </c>
      <c r="C5" s="13">
        <v>45971</v>
      </c>
      <c r="D5" s="13">
        <v>45972</v>
      </c>
      <c r="E5" s="14">
        <v>55</v>
      </c>
      <c r="F5" s="11" t="s">
        <v>56</v>
      </c>
      <c r="G5" s="11" t="s">
        <v>57</v>
      </c>
      <c r="H5" s="13">
        <v>45973</v>
      </c>
    </row>
    <row r="6" spans="1:8">
      <c r="A6" s="11" t="s">
        <v>159</v>
      </c>
      <c r="B6" s="11" t="s">
        <v>160</v>
      </c>
      <c r="C6" s="13">
        <v>46122</v>
      </c>
      <c r="D6" s="13">
        <v>46123</v>
      </c>
      <c r="E6" s="14">
        <v>60</v>
      </c>
      <c r="F6" s="11" t="s">
        <v>56</v>
      </c>
      <c r="G6" s="11" t="s">
        <v>57</v>
      </c>
      <c r="H6" s="13">
        <v>46124</v>
      </c>
    </row>
    <row r="8" spans="1:8">
      <c r="A8" s="9" t="s">
        <v>62</v>
      </c>
    </row>
    <row r="9" spans="1:8">
      <c r="A9" s="10" t="s">
        <v>63</v>
      </c>
      <c r="B9" s="10" t="s">
        <v>64</v>
      </c>
      <c r="C9" s="10" t="s">
        <v>65</v>
      </c>
      <c r="D9" s="10" t="s">
        <v>66</v>
      </c>
      <c r="E9" s="10" t="s">
        <v>67</v>
      </c>
    </row>
    <row r="10" spans="1:8">
      <c r="A10" s="11" t="s">
        <v>161</v>
      </c>
      <c r="B10" s="13">
        <v>46144</v>
      </c>
      <c r="C10" s="11" t="s">
        <v>110</v>
      </c>
      <c r="D10" s="11" t="s">
        <v>73</v>
      </c>
      <c r="E10" s="11" t="s">
        <v>70</v>
      </c>
    </row>
    <row r="12" spans="1:8">
      <c r="A12" s="9" t="s">
        <v>75</v>
      </c>
    </row>
    <row r="13" spans="1:8">
      <c r="A13" s="10" t="s">
        <v>76</v>
      </c>
      <c r="B13" s="10" t="s">
        <v>64</v>
      </c>
      <c r="C13" s="10" t="s">
        <v>77</v>
      </c>
      <c r="D13" s="10" t="s">
        <v>78</v>
      </c>
      <c r="E13" s="10" t="s">
        <v>79</v>
      </c>
    </row>
    <row r="14" spans="1:8">
      <c r="A14" s="12" t="s">
        <v>162</v>
      </c>
    </row>
    <row r="16" spans="1:8">
      <c r="A16" s="9" t="s">
        <v>203</v>
      </c>
    </row>
    <row r="17" spans="1:9" ht="36" customHeight="1">
      <c r="A17" s="2" t="s">
        <v>89</v>
      </c>
      <c r="B17" s="2"/>
      <c r="C17" s="2"/>
      <c r="D17" s="2"/>
      <c r="E17" s="2"/>
      <c r="F17" s="1" t="s">
        <v>163</v>
      </c>
      <c r="G17" s="1"/>
      <c r="H17" s="1"/>
      <c r="I17" s="1"/>
    </row>
    <row r="18" spans="1:9" ht="30" customHeight="1">
      <c r="A18" s="2" t="s">
        <v>205</v>
      </c>
      <c r="B18" s="2"/>
      <c r="C18" s="2"/>
      <c r="D18" s="2"/>
      <c r="E18" s="2"/>
      <c r="F18" s="1" t="s">
        <v>272</v>
      </c>
      <c r="G18" s="1"/>
      <c r="H18" s="1"/>
      <c r="I18" s="1"/>
    </row>
    <row r="19" spans="1:9" ht="30" customHeight="1">
      <c r="A19" s="2" t="s">
        <v>207</v>
      </c>
      <c r="B19" s="2"/>
      <c r="C19" s="2"/>
      <c r="D19" s="2"/>
      <c r="E19" s="2"/>
      <c r="F19" s="1" t="s">
        <v>273</v>
      </c>
      <c r="G19" s="1"/>
      <c r="H19" s="1"/>
      <c r="I19" s="1"/>
    </row>
    <row r="20" spans="1:9" ht="30" customHeight="1">
      <c r="A20" s="2" t="s">
        <v>90</v>
      </c>
      <c r="B20" s="2"/>
      <c r="C20" s="2"/>
      <c r="D20" s="2"/>
      <c r="E20" s="2"/>
      <c r="F20" s="1" t="s">
        <v>164</v>
      </c>
      <c r="G20" s="1"/>
      <c r="H20" s="1"/>
      <c r="I20" s="1"/>
    </row>
    <row r="21" spans="1:9" ht="36" customHeight="1">
      <c r="A21" s="2" t="s">
        <v>92</v>
      </c>
      <c r="B21" s="2"/>
      <c r="C21" s="2"/>
      <c r="D21" s="2"/>
      <c r="E21" s="2"/>
      <c r="F21" s="1" t="s">
        <v>274</v>
      </c>
      <c r="G21" s="1"/>
      <c r="H21" s="1"/>
      <c r="I21" s="1"/>
    </row>
    <row r="22" spans="1:9" ht="36" customHeight="1">
      <c r="A22" s="2" t="s">
        <v>94</v>
      </c>
      <c r="B22" s="2"/>
      <c r="C22" s="2"/>
      <c r="D22" s="2"/>
      <c r="E22" s="2"/>
      <c r="F22" s="1" t="s">
        <v>275</v>
      </c>
      <c r="G22" s="1"/>
      <c r="H22" s="1"/>
      <c r="I22" s="1"/>
    </row>
    <row r="24" spans="1:9">
      <c r="A24" s="9" t="s">
        <v>210</v>
      </c>
    </row>
    <row r="25" spans="1:9" ht="36" customHeight="1">
      <c r="A25" s="2" t="s">
        <v>211</v>
      </c>
      <c r="B25" s="2"/>
      <c r="C25" s="2"/>
      <c r="D25" s="2"/>
      <c r="E25" s="2"/>
      <c r="F25" s="1" t="s">
        <v>276</v>
      </c>
      <c r="G25" s="1"/>
      <c r="H25" s="1"/>
      <c r="I25" s="1"/>
    </row>
    <row r="26" spans="1:9" ht="36" customHeight="1">
      <c r="A26" s="2" t="s">
        <v>213</v>
      </c>
      <c r="B26" s="2"/>
      <c r="C26" s="2"/>
      <c r="D26" s="2"/>
      <c r="E26" s="2"/>
      <c r="F26" s="1" t="s">
        <v>165</v>
      </c>
      <c r="G26" s="1"/>
      <c r="H26" s="1"/>
      <c r="I26" s="1"/>
    </row>
    <row r="27" spans="1:9" ht="36" customHeight="1">
      <c r="A27" s="2" t="s">
        <v>95</v>
      </c>
      <c r="B27" s="2"/>
      <c r="C27" s="2"/>
      <c r="D27" s="2"/>
      <c r="E27" s="2"/>
      <c r="F27" s="1" t="s">
        <v>166</v>
      </c>
      <c r="G27" s="1"/>
      <c r="H27" s="1"/>
      <c r="I27" s="1"/>
    </row>
    <row r="28" spans="1:9" ht="30" customHeight="1">
      <c r="A28" s="2" t="s">
        <v>215</v>
      </c>
      <c r="B28" s="2"/>
      <c r="C28" s="2"/>
      <c r="D28" s="2"/>
      <c r="E28" s="2"/>
      <c r="F28" s="1" t="s">
        <v>167</v>
      </c>
      <c r="G28" s="1"/>
      <c r="H28" s="1"/>
      <c r="I28" s="1"/>
    </row>
    <row r="29" spans="1:9" ht="30" customHeight="1">
      <c r="A29" s="2" t="s">
        <v>97</v>
      </c>
      <c r="B29" s="2"/>
      <c r="C29" s="2"/>
      <c r="D29" s="2"/>
      <c r="E29" s="2"/>
      <c r="F29" s="1" t="s">
        <v>277</v>
      </c>
      <c r="G29" s="1"/>
      <c r="H29" s="1"/>
      <c r="I29" s="1"/>
    </row>
    <row r="31" spans="1:9">
      <c r="A31" s="9" t="s">
        <v>218</v>
      </c>
    </row>
    <row r="32" spans="1:9" ht="36" customHeight="1">
      <c r="A32" s="2" t="s">
        <v>98</v>
      </c>
      <c r="B32" s="2"/>
      <c r="C32" s="2"/>
      <c r="D32" s="2"/>
      <c r="E32" s="2"/>
      <c r="F32" s="1" t="s">
        <v>278</v>
      </c>
      <c r="G32" s="1"/>
      <c r="H32" s="1"/>
      <c r="I32" s="1"/>
    </row>
    <row r="33" spans="1:9" ht="30" customHeight="1">
      <c r="A33" s="2" t="s">
        <v>220</v>
      </c>
      <c r="B33" s="2"/>
      <c r="C33" s="2"/>
      <c r="D33" s="2"/>
      <c r="E33" s="2"/>
      <c r="F33" s="1" t="s">
        <v>279</v>
      </c>
      <c r="G33" s="1"/>
      <c r="H33" s="1"/>
      <c r="I33" s="1"/>
    </row>
    <row r="34" spans="1:9" ht="30" customHeight="1">
      <c r="A34" s="2" t="s">
        <v>222</v>
      </c>
      <c r="B34" s="2"/>
      <c r="C34" s="2"/>
      <c r="D34" s="2"/>
      <c r="E34" s="2"/>
      <c r="F34" s="1" t="s">
        <v>280</v>
      </c>
      <c r="G34" s="1"/>
      <c r="H34" s="1"/>
      <c r="I34" s="1"/>
    </row>
    <row r="35" spans="1:9" ht="30" customHeight="1">
      <c r="A35" s="2" t="s">
        <v>224</v>
      </c>
      <c r="B35" s="2"/>
      <c r="C35" s="2"/>
      <c r="D35" s="2"/>
      <c r="E35" s="2"/>
      <c r="F35" s="1" t="s">
        <v>281</v>
      </c>
      <c r="G35" s="1"/>
      <c r="H35" s="1"/>
      <c r="I35" s="1"/>
    </row>
    <row r="36" spans="1:9" ht="36" customHeight="1">
      <c r="A36" s="2" t="s">
        <v>226</v>
      </c>
      <c r="B36" s="2"/>
      <c r="C36" s="2"/>
      <c r="D36" s="2"/>
      <c r="E36" s="2"/>
      <c r="F36" s="1" t="s">
        <v>282</v>
      </c>
      <c r="G36" s="1"/>
      <c r="H36" s="1"/>
      <c r="I36" s="1"/>
    </row>
    <row r="38" spans="1:9">
      <c r="A38" s="9" t="s">
        <v>228</v>
      </c>
    </row>
    <row r="39" spans="1:9" ht="36" customHeight="1">
      <c r="A39" s="2" t="s">
        <v>99</v>
      </c>
      <c r="B39" s="2"/>
      <c r="C39" s="2"/>
      <c r="D39" s="2"/>
      <c r="E39" s="2"/>
      <c r="F39" s="1" t="s">
        <v>283</v>
      </c>
      <c r="G39" s="1"/>
      <c r="H39" s="1"/>
      <c r="I39" s="1"/>
    </row>
    <row r="40" spans="1:9" ht="36" customHeight="1">
      <c r="A40" s="2" t="s">
        <v>100</v>
      </c>
      <c r="B40" s="2"/>
      <c r="C40" s="2"/>
      <c r="D40" s="2"/>
      <c r="E40" s="2"/>
      <c r="F40" s="1" t="s">
        <v>284</v>
      </c>
      <c r="G40" s="1"/>
      <c r="H40" s="1"/>
      <c r="I40" s="1"/>
    </row>
    <row r="41" spans="1:9" ht="30" customHeight="1">
      <c r="A41" s="2" t="s">
        <v>101</v>
      </c>
      <c r="B41" s="2"/>
      <c r="C41" s="2"/>
      <c r="D41" s="2"/>
      <c r="E41" s="2"/>
      <c r="F41" s="1" t="s">
        <v>231</v>
      </c>
      <c r="G41" s="1"/>
      <c r="H41" s="1"/>
      <c r="I41" s="1"/>
    </row>
  </sheetData>
  <mergeCells count="38">
    <mergeCell ref="A17:E17"/>
    <mergeCell ref="F17:I17"/>
    <mergeCell ref="A18:E18"/>
    <mergeCell ref="F18:I18"/>
    <mergeCell ref="A19:E19"/>
    <mergeCell ref="F19:I19"/>
    <mergeCell ref="A20:E20"/>
    <mergeCell ref="F20:I20"/>
    <mergeCell ref="A21:E21"/>
    <mergeCell ref="F21:I21"/>
    <mergeCell ref="A22:E22"/>
    <mergeCell ref="F22:I22"/>
    <mergeCell ref="A25:E25"/>
    <mergeCell ref="F25:I25"/>
    <mergeCell ref="A26:E26"/>
    <mergeCell ref="F26:I26"/>
    <mergeCell ref="A27:E27"/>
    <mergeCell ref="F27:I27"/>
    <mergeCell ref="A28:E28"/>
    <mergeCell ref="F28:I28"/>
    <mergeCell ref="A29:E29"/>
    <mergeCell ref="F29:I29"/>
    <mergeCell ref="A32:E32"/>
    <mergeCell ref="F32:I32"/>
    <mergeCell ref="A33:E33"/>
    <mergeCell ref="F33:I33"/>
    <mergeCell ref="A34:E34"/>
    <mergeCell ref="F34:I34"/>
    <mergeCell ref="A35:E35"/>
    <mergeCell ref="F35:I35"/>
    <mergeCell ref="A41:E41"/>
    <mergeCell ref="F41:I41"/>
    <mergeCell ref="A36:E36"/>
    <mergeCell ref="F36:I36"/>
    <mergeCell ref="A39:E39"/>
    <mergeCell ref="F39:I39"/>
    <mergeCell ref="A40:E40"/>
    <mergeCell ref="F40:I40"/>
  </mergeCells>
  <phoneticPr fontId="1" type="noConversion"/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53C3-DC2B-9341-8895-7B818EF99916}">
  <sheetPr>
    <pageSetUpPr fitToPage="1"/>
  </sheetPr>
  <dimension ref="A1:I47"/>
  <sheetViews>
    <sheetView topLeftCell="A12" workbookViewId="0">
      <selection activeCell="F47" sqref="F47:I47"/>
    </sheetView>
  </sheetViews>
  <sheetFormatPr baseColWidth="10" defaultRowHeight="16"/>
  <cols>
    <col min="1" max="1" width="14.5" customWidth="1"/>
    <col min="2" max="2" width="11" customWidth="1"/>
    <col min="3" max="3" width="10" customWidth="1"/>
    <col min="4" max="4" width="11" customWidth="1"/>
    <col min="5" max="5" width="30" customWidth="1"/>
    <col min="6" max="8" width="11.83203125" customWidth="1"/>
    <col min="9" max="9" width="12.6640625" customWidth="1"/>
  </cols>
  <sheetData>
    <row r="1" spans="1:8" ht="20" customHeight="1">
      <c r="A1" s="8" t="s">
        <v>285</v>
      </c>
    </row>
    <row r="3" spans="1:8">
      <c r="A3" s="9" t="s">
        <v>45</v>
      </c>
    </row>
    <row r="4" spans="1:8">
      <c r="A4" s="10" t="s">
        <v>46</v>
      </c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</row>
    <row r="5" spans="1:8">
      <c r="A5" s="11" t="s">
        <v>168</v>
      </c>
      <c r="B5" s="11" t="s">
        <v>169</v>
      </c>
      <c r="C5" s="13">
        <v>45966</v>
      </c>
      <c r="D5" s="13">
        <v>45967</v>
      </c>
      <c r="E5" s="14">
        <v>7</v>
      </c>
      <c r="F5" s="11" t="s">
        <v>170</v>
      </c>
      <c r="G5" s="11" t="s">
        <v>57</v>
      </c>
      <c r="H5" s="13">
        <v>45968</v>
      </c>
    </row>
    <row r="6" spans="1:8">
      <c r="A6" s="11" t="s">
        <v>171</v>
      </c>
      <c r="B6" s="11" t="s">
        <v>172</v>
      </c>
      <c r="C6" s="13">
        <v>46178</v>
      </c>
      <c r="D6" s="13">
        <v>46179</v>
      </c>
      <c r="E6" s="14">
        <v>8.0999999999999996</v>
      </c>
      <c r="F6" s="11" t="s">
        <v>170</v>
      </c>
      <c r="G6" s="11" t="s">
        <v>57</v>
      </c>
      <c r="H6" s="13">
        <v>46180</v>
      </c>
    </row>
    <row r="8" spans="1:8">
      <c r="A8" s="9" t="s">
        <v>62</v>
      </c>
    </row>
    <row r="9" spans="1:8">
      <c r="A9" s="10" t="s">
        <v>63</v>
      </c>
      <c r="B9" s="10" t="s">
        <v>64</v>
      </c>
      <c r="C9" s="10" t="s">
        <v>65</v>
      </c>
      <c r="D9" s="10" t="s">
        <v>66</v>
      </c>
      <c r="E9" s="10" t="s">
        <v>67</v>
      </c>
    </row>
    <row r="10" spans="1:8">
      <c r="A10" s="11" t="s">
        <v>173</v>
      </c>
      <c r="B10" s="13">
        <v>46183</v>
      </c>
      <c r="C10" s="11" t="s">
        <v>69</v>
      </c>
      <c r="D10" s="11" t="s">
        <v>70</v>
      </c>
      <c r="E10" s="11" t="s">
        <v>70</v>
      </c>
    </row>
    <row r="12" spans="1:8">
      <c r="A12" s="9" t="s">
        <v>75</v>
      </c>
    </row>
    <row r="13" spans="1:8">
      <c r="A13" s="10" t="s">
        <v>76</v>
      </c>
      <c r="B13" s="10" t="s">
        <v>64</v>
      </c>
      <c r="C13" s="10" t="s">
        <v>77</v>
      </c>
      <c r="D13" s="10" t="s">
        <v>78</v>
      </c>
      <c r="E13" s="10" t="s">
        <v>79</v>
      </c>
    </row>
    <row r="14" spans="1:8">
      <c r="A14" s="11" t="s">
        <v>174</v>
      </c>
      <c r="B14" s="13">
        <v>46082</v>
      </c>
      <c r="C14" s="11">
        <v>28</v>
      </c>
      <c r="D14" s="11" t="s">
        <v>175</v>
      </c>
      <c r="E14" s="11" t="s">
        <v>176</v>
      </c>
    </row>
    <row r="15" spans="1:8">
      <c r="A15" s="11" t="s">
        <v>177</v>
      </c>
      <c r="B15" s="13">
        <v>46110</v>
      </c>
      <c r="C15" s="11">
        <v>28</v>
      </c>
      <c r="D15" s="11" t="s">
        <v>175</v>
      </c>
      <c r="E15" s="11" t="s">
        <v>176</v>
      </c>
    </row>
    <row r="16" spans="1:8">
      <c r="A16" s="11" t="s">
        <v>178</v>
      </c>
      <c r="B16" s="13">
        <v>46138</v>
      </c>
      <c r="C16" s="11">
        <v>28</v>
      </c>
      <c r="D16" s="11" t="s">
        <v>175</v>
      </c>
      <c r="E16" s="11" t="s">
        <v>176</v>
      </c>
    </row>
    <row r="17" spans="1:9">
      <c r="A17" s="11" t="s">
        <v>179</v>
      </c>
      <c r="B17" s="13">
        <v>46166</v>
      </c>
      <c r="C17" s="11">
        <v>28</v>
      </c>
      <c r="D17" s="11" t="s">
        <v>175</v>
      </c>
      <c r="E17" s="11" t="s">
        <v>176</v>
      </c>
    </row>
    <row r="18" spans="1:9">
      <c r="A18" s="11" t="s">
        <v>180</v>
      </c>
      <c r="B18" s="13">
        <v>46194</v>
      </c>
      <c r="C18" s="11">
        <v>28</v>
      </c>
      <c r="D18" s="11" t="s">
        <v>175</v>
      </c>
      <c r="E18" s="11" t="s">
        <v>176</v>
      </c>
    </row>
    <row r="19" spans="1:9">
      <c r="A19" s="11" t="s">
        <v>181</v>
      </c>
      <c r="B19" s="13">
        <v>46222</v>
      </c>
      <c r="C19" s="11">
        <v>28</v>
      </c>
      <c r="D19" s="11" t="s">
        <v>175</v>
      </c>
      <c r="E19" s="11" t="s">
        <v>176</v>
      </c>
    </row>
    <row r="20" spans="1:9">
      <c r="A20" s="11" t="s">
        <v>182</v>
      </c>
      <c r="B20" s="13">
        <v>46250</v>
      </c>
      <c r="C20" s="11">
        <v>28</v>
      </c>
      <c r="D20" s="11" t="s">
        <v>175</v>
      </c>
      <c r="E20" s="11" t="s">
        <v>176</v>
      </c>
    </row>
    <row r="22" spans="1:9">
      <c r="A22" s="9" t="s">
        <v>203</v>
      </c>
    </row>
    <row r="23" spans="1:9" ht="36" customHeight="1">
      <c r="A23" s="2" t="s">
        <v>89</v>
      </c>
      <c r="B23" s="2"/>
      <c r="C23" s="2"/>
      <c r="D23" s="2"/>
      <c r="E23" s="2"/>
      <c r="F23" s="1" t="s">
        <v>286</v>
      </c>
      <c r="G23" s="1"/>
      <c r="H23" s="1"/>
      <c r="I23" s="1"/>
    </row>
    <row r="24" spans="1:9" ht="30" customHeight="1">
      <c r="A24" s="2" t="s">
        <v>205</v>
      </c>
      <c r="B24" s="2"/>
      <c r="C24" s="2"/>
      <c r="D24" s="2"/>
      <c r="E24" s="2"/>
      <c r="F24" s="1" t="s">
        <v>287</v>
      </c>
      <c r="G24" s="1"/>
      <c r="H24" s="1"/>
      <c r="I24" s="1"/>
    </row>
    <row r="25" spans="1:9" ht="30" customHeight="1">
      <c r="A25" s="2" t="s">
        <v>207</v>
      </c>
      <c r="B25" s="2"/>
      <c r="C25" s="2"/>
      <c r="D25" s="2"/>
      <c r="E25" s="2"/>
      <c r="F25" s="1" t="s">
        <v>288</v>
      </c>
      <c r="G25" s="1"/>
      <c r="H25" s="1"/>
      <c r="I25" s="1"/>
    </row>
    <row r="26" spans="1:9" ht="30" customHeight="1">
      <c r="A26" s="2" t="s">
        <v>90</v>
      </c>
      <c r="B26" s="2"/>
      <c r="C26" s="2"/>
      <c r="D26" s="2"/>
      <c r="E26" s="2"/>
      <c r="F26" s="1" t="s">
        <v>183</v>
      </c>
      <c r="G26" s="1"/>
      <c r="H26" s="1"/>
      <c r="I26" s="1"/>
    </row>
    <row r="27" spans="1:9" ht="36" customHeight="1">
      <c r="A27" s="2" t="s">
        <v>92</v>
      </c>
      <c r="B27" s="2"/>
      <c r="C27" s="2"/>
      <c r="D27" s="2"/>
      <c r="E27" s="2"/>
      <c r="F27" s="1" t="s">
        <v>289</v>
      </c>
      <c r="G27" s="1"/>
      <c r="H27" s="1"/>
      <c r="I27" s="1"/>
    </row>
    <row r="28" spans="1:9" ht="36" customHeight="1">
      <c r="A28" s="2" t="s">
        <v>94</v>
      </c>
      <c r="B28" s="2"/>
      <c r="C28" s="2"/>
      <c r="D28" s="2"/>
      <c r="E28" s="2"/>
      <c r="F28" s="1" t="s">
        <v>290</v>
      </c>
      <c r="G28" s="1"/>
      <c r="H28" s="1"/>
      <c r="I28" s="1"/>
    </row>
    <row r="30" spans="1:9">
      <c r="A30" s="9" t="s">
        <v>210</v>
      </c>
    </row>
    <row r="31" spans="1:9" ht="51" customHeight="1">
      <c r="A31" s="2" t="s">
        <v>211</v>
      </c>
      <c r="B31" s="2"/>
      <c r="C31" s="2"/>
      <c r="D31" s="2"/>
      <c r="E31" s="2"/>
      <c r="F31" s="1" t="s">
        <v>291</v>
      </c>
      <c r="G31" s="1"/>
      <c r="H31" s="1"/>
      <c r="I31" s="1"/>
    </row>
    <row r="32" spans="1:9" ht="126" customHeight="1">
      <c r="A32" s="2" t="s">
        <v>213</v>
      </c>
      <c r="B32" s="2"/>
      <c r="C32" s="2"/>
      <c r="D32" s="2"/>
      <c r="E32" s="2"/>
      <c r="F32" s="1" t="s">
        <v>292</v>
      </c>
      <c r="G32" s="1"/>
      <c r="H32" s="1"/>
      <c r="I32" s="1"/>
    </row>
    <row r="33" spans="1:9" ht="36" customHeight="1">
      <c r="A33" s="2" t="s">
        <v>95</v>
      </c>
      <c r="B33" s="2"/>
      <c r="C33" s="2"/>
      <c r="D33" s="2"/>
      <c r="E33" s="2"/>
      <c r="F33" s="1" t="s">
        <v>293</v>
      </c>
      <c r="G33" s="1"/>
      <c r="H33" s="1"/>
      <c r="I33" s="1"/>
    </row>
    <row r="34" spans="1:9" ht="30" customHeight="1">
      <c r="A34" s="2" t="s">
        <v>215</v>
      </c>
      <c r="B34" s="2"/>
      <c r="C34" s="2"/>
      <c r="D34" s="2"/>
      <c r="E34" s="2"/>
      <c r="F34" s="1" t="s">
        <v>264</v>
      </c>
      <c r="G34" s="1"/>
      <c r="H34" s="1"/>
      <c r="I34" s="1"/>
    </row>
    <row r="35" spans="1:9" ht="30" customHeight="1">
      <c r="A35" s="2" t="s">
        <v>97</v>
      </c>
      <c r="B35" s="2"/>
      <c r="C35" s="2"/>
      <c r="D35" s="2"/>
      <c r="E35" s="2"/>
      <c r="F35" s="1" t="s">
        <v>265</v>
      </c>
      <c r="G35" s="1"/>
      <c r="H35" s="1"/>
      <c r="I35" s="1"/>
    </row>
    <row r="37" spans="1:9">
      <c r="A37" s="9" t="s">
        <v>218</v>
      </c>
    </row>
    <row r="38" spans="1:9" ht="36" customHeight="1">
      <c r="A38" s="2" t="s">
        <v>98</v>
      </c>
      <c r="B38" s="2"/>
      <c r="C38" s="2"/>
      <c r="D38" s="2"/>
      <c r="E38" s="2"/>
      <c r="F38" s="1" t="s">
        <v>294</v>
      </c>
      <c r="G38" s="1"/>
      <c r="H38" s="1"/>
      <c r="I38" s="1"/>
    </row>
    <row r="39" spans="1:9" ht="30" customHeight="1">
      <c r="A39" s="2" t="s">
        <v>220</v>
      </c>
      <c r="B39" s="2"/>
      <c r="C39" s="2"/>
      <c r="D39" s="2"/>
      <c r="E39" s="2"/>
      <c r="F39" s="1" t="s">
        <v>279</v>
      </c>
      <c r="G39" s="1"/>
      <c r="H39" s="1"/>
      <c r="I39" s="1"/>
    </row>
    <row r="40" spans="1:9" ht="30" customHeight="1">
      <c r="A40" s="2" t="s">
        <v>222</v>
      </c>
      <c r="B40" s="2"/>
      <c r="C40" s="2"/>
      <c r="D40" s="2"/>
      <c r="E40" s="2"/>
      <c r="F40" s="1" t="s">
        <v>295</v>
      </c>
      <c r="G40" s="1"/>
      <c r="H40" s="1"/>
      <c r="I40" s="1"/>
    </row>
    <row r="41" spans="1:9" ht="30" customHeight="1">
      <c r="A41" s="2" t="s">
        <v>224</v>
      </c>
      <c r="B41" s="2"/>
      <c r="C41" s="2"/>
      <c r="D41" s="2"/>
      <c r="E41" s="2"/>
      <c r="F41" s="1" t="s">
        <v>225</v>
      </c>
      <c r="G41" s="1"/>
      <c r="H41" s="1"/>
      <c r="I41" s="1"/>
    </row>
    <row r="42" spans="1:9" ht="36" customHeight="1">
      <c r="A42" s="2" t="s">
        <v>226</v>
      </c>
      <c r="B42" s="2"/>
      <c r="C42" s="2"/>
      <c r="D42" s="2"/>
      <c r="E42" s="2"/>
      <c r="F42" s="1" t="s">
        <v>296</v>
      </c>
      <c r="G42" s="1"/>
      <c r="H42" s="1"/>
      <c r="I42" s="1"/>
    </row>
    <row r="44" spans="1:9">
      <c r="A44" s="9" t="s">
        <v>228</v>
      </c>
    </row>
    <row r="45" spans="1:9" ht="36" customHeight="1">
      <c r="A45" s="2" t="s">
        <v>99</v>
      </c>
      <c r="B45" s="2"/>
      <c r="C45" s="2"/>
      <c r="D45" s="2"/>
      <c r="E45" s="2"/>
      <c r="F45" s="1" t="s">
        <v>297</v>
      </c>
      <c r="G45" s="1"/>
      <c r="H45" s="1"/>
      <c r="I45" s="1"/>
    </row>
    <row r="46" spans="1:9" ht="36" customHeight="1">
      <c r="A46" s="2" t="s">
        <v>100</v>
      </c>
      <c r="B46" s="2"/>
      <c r="C46" s="2"/>
      <c r="D46" s="2"/>
      <c r="E46" s="2"/>
      <c r="F46" s="1" t="s">
        <v>298</v>
      </c>
      <c r="G46" s="1"/>
      <c r="H46" s="1"/>
      <c r="I46" s="1"/>
    </row>
    <row r="47" spans="1:9" ht="30" customHeight="1">
      <c r="A47" s="2" t="s">
        <v>101</v>
      </c>
      <c r="B47" s="2"/>
      <c r="C47" s="2"/>
      <c r="D47" s="2"/>
      <c r="E47" s="2"/>
      <c r="F47" s="1" t="s">
        <v>231</v>
      </c>
      <c r="G47" s="1"/>
      <c r="H47" s="1"/>
      <c r="I47" s="1"/>
    </row>
  </sheetData>
  <mergeCells count="38">
    <mergeCell ref="A23:E23"/>
    <mergeCell ref="F23:I23"/>
    <mergeCell ref="A24:E24"/>
    <mergeCell ref="F24:I24"/>
    <mergeCell ref="A25:E25"/>
    <mergeCell ref="F25:I25"/>
    <mergeCell ref="A26:E26"/>
    <mergeCell ref="F26:I26"/>
    <mergeCell ref="A27:E27"/>
    <mergeCell ref="F27:I27"/>
    <mergeCell ref="A28:E28"/>
    <mergeCell ref="F28:I28"/>
    <mergeCell ref="A31:E31"/>
    <mergeCell ref="F31:I31"/>
    <mergeCell ref="A32:E32"/>
    <mergeCell ref="F32:I32"/>
    <mergeCell ref="A33:E33"/>
    <mergeCell ref="F33:I33"/>
    <mergeCell ref="A34:E34"/>
    <mergeCell ref="F34:I34"/>
    <mergeCell ref="A35:E35"/>
    <mergeCell ref="F35:I35"/>
    <mergeCell ref="A38:E38"/>
    <mergeCell ref="F38:I38"/>
    <mergeCell ref="A39:E39"/>
    <mergeCell ref="F39:I39"/>
    <mergeCell ref="A40:E40"/>
    <mergeCell ref="F40:I40"/>
    <mergeCell ref="A41:E41"/>
    <mergeCell ref="F41:I41"/>
    <mergeCell ref="A47:E47"/>
    <mergeCell ref="F47:I47"/>
    <mergeCell ref="A42:E42"/>
    <mergeCell ref="F42:I42"/>
    <mergeCell ref="A45:E45"/>
    <mergeCell ref="F45:I45"/>
    <mergeCell ref="A46:E46"/>
    <mergeCell ref="F46:I46"/>
  </mergeCells>
  <phoneticPr fontId="1" type="noConversion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Rules</vt:lpstr>
      <vt:lpstr>Summary</vt:lpstr>
      <vt:lpstr>P01</vt:lpstr>
      <vt:lpstr>P02</vt:lpstr>
      <vt:lpstr>P03</vt:lpstr>
      <vt:lpstr>P09</vt:lpstr>
      <vt:lpstr>P13</vt:lpstr>
      <vt:lpstr>P17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Yang</dc:creator>
  <cp:lastModifiedBy>Xiaolong Yang</cp:lastModifiedBy>
  <dcterms:created xsi:type="dcterms:W3CDTF">2026-10-06T08:36:32Z</dcterms:created>
  <dcterms:modified xsi:type="dcterms:W3CDTF">2026-10-20T00:34:44Z</dcterms:modified>
</cp:coreProperties>
</file>